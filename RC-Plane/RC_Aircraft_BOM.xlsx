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Calc"/>
  <workbookPr defaultThemeVersion="153222"/>
  <bookViews>
    <workbookView xWindow="0" yWindow="0" windowWidth="16384" windowHeight="8192" activeTab="1" tabRatio="500"/>
  </bookViews>
  <sheets>
    <sheet name="BOM" sheetId="1" r:id="rId1"/>
    <sheet name="Budget" sheetId="2" r:id="rId2"/>
    <sheet name="Rationale" sheetId="3" r:id="rId3"/>
    <sheet name="Calcs" sheetId="4" r:id="rId4"/>
    <sheet name="Sources" sheetId="5" r:id="rId5"/>
  </sheets>
  <calcPr iterateDelta="1.0E-4"/>
</workbook>
</file>

<file path=xl/sharedStrings.xml><?xml version="1.0" encoding="utf-8"?>
<sst xmlns="http://schemas.openxmlformats.org/spreadsheetml/2006/main" uniqueCount="417" count="417">
  <si>
    <t>Bill of Materials – electric single-motor fixed-wing RC aircraft (1.1 m span, high wing)</t>
  </si>
  <si>
    <t>Recommendation 1 = Budget option, Recommendation 2 = Performance option. No parts purchased. Prices are approximate INR (incl. GST) – see Sources sheet for which are listing-based vs estimated; re-check before ordering.</t>
  </si>
  <si>
    <t>Blue = hardcoded input/price, black = formula. Link text states whether the link is a product page or a store search.</t>
  </si>
  <si>
    <t>ID</t>
  </si>
  <si>
    <t>Category</t>
  </si>
  <si>
    <t>Component</t>
  </si>
  <si>
    <t>Recommendation 1 (Budget)</t>
  </si>
  <si>
    <t>Recommendation 2 (Performance)</t>
  </si>
  <si>
    <t>Key specifications</t>
  </si>
  <si>
    <t>Quantity</t>
  </si>
  <si>
    <t>Unit price R1 (₹)</t>
  </si>
  <si>
    <t>Unit price R2 (₹)</t>
  </si>
  <si>
    <t>Estimated cost R1 (₹)</t>
  </si>
  <si>
    <t>Estimated cost R2 (₹)</t>
  </si>
  <si>
    <t>Installed mass R1 (g)</t>
  </si>
  <si>
    <t>Installed mass R2 (g)</t>
  </si>
  <si>
    <t>Source R1</t>
  </si>
  <si>
    <t>Source R2</t>
  </si>
  <si>
    <t>Notes</t>
  </si>
  <si>
    <t>A1</t>
  </si>
  <si>
    <t>Airframe</t>
  </si>
  <si>
    <t>Foam sheet (wing, fuselage, tail)</t>
  </si>
  <si>
    <t>5 mm foam-core (Kapa) board, A1 sheet</t>
  </si>
  <si>
    <t>6 mm Depron-type XPS foam sheet</t>
  </si>
  <si>
    <t>~0.86 m² of structure; foam-glue friendly; qty includes ~30% cutting waste</t>
  </si>
  <si>
    <t>Amazon.in – search</t>
  </si>
  <si>
    <t>Estimated prices. Depron-type sheets are less common in India; check local hobby shops.</t>
  </si>
  <si>
    <t>A2</t>
  </si>
  <si>
    <t>Main wing spar</t>
  </si>
  <si>
    <t>6 mm solid carbon rod, 1 m</t>
  </si>
  <si>
    <t>8x6 mm carbon tube, 1 m</t>
  </si>
  <si>
    <t>Bending stiffness EI dominates; see Calcs spar check</t>
  </si>
  <si>
    <t>Estimated. Tube is lighter and ~2x stiffer than the rod.</t>
  </si>
  <si>
    <t>A3</t>
  </si>
  <si>
    <t>Fuselage / tail stiffeners</t>
  </si>
  <si>
    <t>3 mm bamboo skewers (pack)</t>
  </si>
  <si>
    <t>3 mm carbon rod, 1 m</t>
  </si>
  <si>
    <t>Longerons, tail-boom reinforcement</t>
  </si>
  <si>
    <t>Estimated.</t>
  </si>
  <si>
    <t>A4</t>
  </si>
  <si>
    <t>Landing gear (optional – ground takeoff)</t>
  </si>
  <si>
    <t>3 mm steel wire main gear + 55 mm foam wheels</t>
  </si>
  <si>
    <t>Pre-bent aluminium gear + 65 mm wheels + tail wheel</t>
  </si>
  <si>
    <t>Not needed if hand-launched and belly-landed</t>
  </si>
  <si>
    <t>Estimated. Can be skipped (see Budget sheet).</t>
  </si>
  <si>
    <t>P1</t>
  </si>
  <si>
    <t>Propulsion</t>
  </si>
  <si>
    <t>Brushless motor</t>
  </si>
  <si>
    <t>A2212 1000 KV outrunner</t>
  </si>
  <si>
    <t>SunnySky X2212 ~980 KV</t>
  </si>
  <si>
    <t>2-3S, ~160 W class, 28 mm can, cross mount + prop adapter included; max ~15-18 A</t>
  </si>
  <si>
    <t>Robu – product page</t>
  </si>
  <si>
    <t>R1 price: Robu listing Rs 375 (page showed out-of-stock when checked; verify). R2 estimated.</t>
  </si>
  <si>
    <t>P2</t>
  </si>
  <si>
    <t>ESC (electronic speed controller)</t>
  </si>
  <si>
    <t>SimonK 30 A ESC (with BEC)</t>
  </si>
  <si>
    <t>Hobbywing Skywalker 40 A V2 (with BEC)</t>
  </si>
  <si>
    <t>Continuous current, 2-4S, 5 V BEC for Rx + servos</t>
  </si>
  <si>
    <t>Robu – search</t>
  </si>
  <si>
    <t>R1 price: Robu listing Rs 342 (without connectors). R2 estimated.</t>
  </si>
  <si>
    <t>P3</t>
  </si>
  <si>
    <t>Propeller (1 mounted + 2 spare)</t>
  </si>
  <si>
    <t>10x4.7 slow-fly nylon prop</t>
  </si>
  <si>
    <t>APC-style 10x4.7 SF prop</t>
  </si>
  <si>
    <t>Dia 10 in, pitch 4.7 in; spares for crashes</t>
  </si>
  <si>
    <t>Estimated. Mass is for the mounted prop only.</t>
  </si>
  <si>
    <t>P4</t>
  </si>
  <si>
    <t>LiPo battery</t>
  </si>
  <si>
    <t>Orange 3S 2200 mAh 30C</t>
  </si>
  <si>
    <t>Orange 3S 2200 mAh 40C</t>
  </si>
  <si>
    <t>11.1 V nominal, XT60; capacity vs mass trade-off in Calcs</t>
  </si>
  <si>
    <t>Robu – category</t>
  </si>
  <si>
    <t>Estimated prices – check live listing.</t>
  </si>
  <si>
    <t>R1</t>
  </si>
  <si>
    <t>Radio &amp; control</t>
  </si>
  <si>
    <t>Transmitter</t>
  </si>
  <si>
    <t>FlySky FS-i6X (AFHDS 2A)</t>
  </si>
  <si>
    <t>RadioMaster Pocket (ELRS 2.4 GHz)</t>
  </si>
  <si>
    <t>6+ channels; mixing for ailerons/failsafe</t>
  </si>
  <si>
    <t>R1: Robu/Probots sell Tx+Rx bundles (Rs ~5,500 total in this BOM). R2 estimated.</t>
  </si>
  <si>
    <t>R2</t>
  </si>
  <si>
    <t>Receiver</t>
  </si>
  <si>
    <t>FlySky FS-iA6B (AFHDS 2A, 6 ch)</t>
  </si>
  <si>
    <t>RadioMaster ER6 (ELRS, 6 ch PWM)</t>
  </si>
  <si>
    <t>Must match transmitter protocol; PWM out for servos/ESC</t>
  </si>
  <si>
    <t>Probots – product page (bundle)</t>
  </si>
  <si>
    <t>Estimated. Bundle page lists Tx + iA10B; iA6B also AFHDS 2A.</t>
  </si>
  <si>
    <t>R3</t>
  </si>
  <si>
    <t>Servos (2 aileron, elevator, rudder)</t>
  </si>
  <si>
    <t>SG90 9 g plastic-gear micro servo</t>
  </si>
  <si>
    <t>MG90S 9 g metal-gear micro servo</t>
  </si>
  <si>
    <t>4.8-6 V, ~1.6-2 kgf.cm; hinge moments &lt;&lt; stall torque</t>
  </si>
  <si>
    <t>W1</t>
  </si>
  <si>
    <t>Assembly</t>
  </si>
  <si>
    <t>Control linkage (pushrods, horns, clevises)</t>
  </si>
  <si>
    <t>1.5 mm wire pushrods + nylon horns + clevises</t>
  </si>
  <si>
    <t>1 mm carbon pushrods + CNC horns + metal clevises</t>
  </si>
  <si>
    <t>4 sets</t>
  </si>
  <si>
    <t>W2</t>
  </si>
  <si>
    <t>Hinges &amp; surface finish</t>
  </si>
  <si>
    <t>Clear + coloured packing tape (tape hinges)</t>
  </si>
  <si>
    <t>Heat-shrink covering film + CA hinges</t>
  </si>
  <si>
    <t>Tape hinges: cheap, repairable; film: lighter finish, better moisture/impact resistance</t>
  </si>
  <si>
    <t>W3</t>
  </si>
  <si>
    <t>Motor firewall &amp; mount hardware</t>
  </si>
  <si>
    <t>3 mm plywood + M3 screws/nuts</t>
  </si>
  <si>
    <t>CNC motor mount + 3 mm plywood</t>
  </si>
  <si>
    <t>M3, 16/19 mm cross-mount pattern</t>
  </si>
  <si>
    <t>W4</t>
  </si>
  <si>
    <t>Connectors &amp; leads</t>
  </si>
  <si>
    <t>Generic XT60 pairs, bullet connectors, 2 servo extensions, Y-harness</t>
  </si>
  <si>
    <t>Amass XT60 + silicone servo leads</t>
  </si>
  <si>
    <t>XT60 battery-ESC; 3.5 mm bullets motor-ESC; 30 cm extensions</t>
  </si>
  <si>
    <t>W5</t>
  </si>
  <si>
    <t>Wire, heat-shrink, cable ties</t>
  </si>
  <si>
    <t>14 AWG silicone wire 1 m, heat-shrink, ties</t>
  </si>
  <si>
    <t>Same, higher-grade silicone wire</t>
  </si>
  <si>
    <t>Power leads kept short; heat-shrink all solder joints</t>
  </si>
  <si>
    <t>W6</t>
  </si>
  <si>
    <t>Adhesives</t>
  </si>
  <si>
    <t>Low-temp hot glue + 5-min epoxy</t>
  </si>
  <si>
    <t>UHU Por + foam-safe CA + 5-min epoxy</t>
  </si>
  <si>
    <t>CA/superglue dissolves some foams: use foam-safe types</t>
  </si>
  <si>
    <t>Estimated. Mass = glue installed in the airframe.</t>
  </si>
  <si>
    <t>W7</t>
  </si>
  <si>
    <t>Battery strap &amp; padding</t>
  </si>
  <si>
    <t>Velcro strap + foam pad</t>
  </si>
  <si>
    <t>30 cm LiPo strap + foam pad</t>
  </si>
  <si>
    <t>Holds battery in CG-adjustable bay</t>
  </si>
  <si>
    <t>G1</t>
  </si>
  <si>
    <t>Ground support</t>
  </si>
  <si>
    <t>LiPo balance charger + 12 V supply</t>
  </si>
  <si>
    <t>iMAX B6-class 80 W charger + SMPS</t>
  </si>
  <si>
    <t>SkyRC/ISDT 100 W charger + SMPS</t>
  </si>
  <si>
    <t>Balance charging 3S; mandatory for LiPo</t>
  </si>
  <si>
    <t>Estimated. Club may already own one.</t>
  </si>
  <si>
    <t>G2</t>
  </si>
  <si>
    <t>Watt meter / thrust-test gear</t>
  </si>
  <si>
    <t>100 A watt meter + kitchen scale</t>
  </si>
  <si>
    <t>Bluetooth watt meter + HX711 load cell</t>
  </si>
  <si>
    <t>Measures current/thrust (Part C check)</t>
  </si>
  <si>
    <t>G3</t>
  </si>
  <si>
    <t>LiPo safe bag + low-voltage alarm</t>
  </si>
  <si>
    <t>LiPo bag + buzzer</t>
  </si>
  <si>
    <t>Fire-proof case + buzzer</t>
  </si>
  <si>
    <t>Safety, not optional for charging/storage</t>
  </si>
  <si>
    <t>G4</t>
  </si>
  <si>
    <t>Spares kit</t>
  </si>
  <si>
    <t>1 spare servo + 1 foam sheet + glue</t>
  </si>
  <si>
    <t>Quick repair between flights</t>
  </si>
  <si>
    <t>Aircraft-only total (excl. ground support)</t>
  </si>
  <si>
    <t>← installed mass total (g), before 5% contingency</t>
  </si>
  <si>
    <t>Ground support total</t>
  </si>
  <si>
    <t>GRAND TOTAL</t>
  </si>
  <si>
    <t>Part D – Budget, configurations and selection</t>
  </si>
  <si>
    <t>Budget config (₹)</t>
  </si>
  <si>
    <t>Performance config (₹)</t>
  </si>
  <si>
    <t>Aircraft subtotal (first four categories)</t>
  </si>
  <si>
    <t>Ground support subtotal</t>
  </si>
  <si>
    <t>Total build cost</t>
  </si>
  <si>
    <t>Price-volatility contingency (10%)</t>
  </si>
  <si>
    <t>Total with contingency</t>
  </si>
  <si>
    <t>Configuration comparison</t>
  </si>
  <si>
    <t>Takeoff mass (g)</t>
  </si>
  <si>
    <t>Wing loading (g/dm²)</t>
  </si>
  <si>
    <t>Static thrust-to-weight</t>
  </si>
  <si>
    <t>Stall speed (m/s)</t>
  </si>
  <si>
    <t>Rate of climb (m/s)</t>
  </si>
  <si>
    <t>Mixed-flying endurance (min)</t>
  </si>
  <si>
    <t>ESC margin (x)</t>
  </si>
  <si>
    <t>Spar safety factor at 3 g (x)</t>
  </si>
  <si>
    <t>Propulsion verdict</t>
  </si>
  <si>
    <t>Extra cost of Performance over Budget (₹, aircraft + ground)</t>
  </si>
  <si>
    <t>Thrust-to-weight gain per ₹1,000 extra</t>
  </si>
  <si>
    <t>Safe cost-saving opportunities (apply to Budget config)</t>
  </si>
  <si>
    <t>Opportunity</t>
  </si>
  <si>
    <t>Saving (₹)</t>
  </si>
  <si>
    <t>Why it is safe / condition</t>
  </si>
  <si>
    <t>Borrow a club transmitter (buy only the matching receiver)</t>
  </si>
  <si>
    <t>Radio is ground equipment; only the receiver must match the protocol. Condition: club Tx is AFHDS 2A (or buy matching Rx).</t>
  </si>
  <si>
    <t>Use club charger, watt meter and LiPo bag</t>
  </si>
  <si>
    <t>Shared tools; still must balance-charge in a LiPo bag, supervised.</t>
  </si>
  <si>
    <t>Hand launch + belly landing (omit landing gear)</t>
  </si>
  <si>
    <t>Allowed by brief; also saves ~40 g and drag. Foam belly is repairable. Needs a hand-launch-safe T/W (&gt;=0.6).</t>
  </si>
  <si>
    <t>Use lab stock for tape and wire</t>
  </si>
  <si>
    <t>Non-critical consumables; keep power leads &gt;= 14 AWG.</t>
  </si>
  <si>
    <t>Foam-core board instead of Depron-type XPS (already in Budget config)</t>
  </si>
  <si>
    <t>Cheaper and locally available; costs ~86 g of extra mass.</t>
  </si>
  <si>
    <t>SG90 instead of MG90S servos (already in Budget config)</t>
  </si>
  <si>
    <t>Hinge torque needs &lt;&lt; 1 kgf.cm; upgrade to MG90S if gears strip in testing.</t>
  </si>
  <si>
    <t>Lean budget total after the first four optional savings (₹)</t>
  </si>
  <si>
    <t>Do NOT cut: ESC current margin, LiPo bag/balance charging, spar, spare props/servo, range check. These protect against fire, loss of control and rebuild time.</t>
  </si>
  <si>
    <t>Decision matrix (weights are judgement inputs)</t>
  </si>
  <si>
    <t>Criterion (weight)</t>
  </si>
  <si>
    <t>Budget score (1-5)</t>
  </si>
  <si>
    <t>Performance score (1-5)</t>
  </si>
  <si>
    <t>Weight</t>
  </si>
  <si>
    <t>Cost</t>
  </si>
  <si>
    <t>Repairability / spares per ₹</t>
  </si>
  <si>
    <t>Performance margin</t>
  </si>
  <si>
    <t>Local availability / lead time</t>
  </si>
  <si>
    <t>Reliability risk (clone parts, imports)</t>
  </si>
  <si>
    <t>Weighted score</t>
  </si>
  <si>
    <t>Selected configuration</t>
  </si>
  <si>
    <t>Selected: BUDGET configuration. Justification: (1) By the Calcs sheet it already passes every propulsion check (static T/W ~0.8, ESC margin ~2.1x, battery margin ~4.7x, spar SF &gt; 4) so the extra ~₹19,500 of the Performance build buys only a ~0.2 T/W gain, ~25 g less mass and no extra mixed-flight endurance (same 2200 mAh pack). (2) Foam aircraft crash; money saved is better spent on spare foam, props and servos (included) so the team can fly again within hours. (3) Every Budget part is stocked by Indian vendors (Robu, Probots, Amazon.in), avoiding import delays for Depron/ELRS parts. (4) Main risks of the Budget set (clone ESC, plastic-gear servos, optimistic C ratings) are controlled by testing: thrust/current rig test, range check, and one-line upgrades (MG90S ≈ +₹150×4, 40C pack) if tests show a problem.</t>
  </si>
  <si>
    <t>Part C – Technical justification (numbers refer to the Calcs sheet; all inputs there are editable)</t>
  </si>
  <si>
    <t>Topic</t>
  </si>
  <si>
    <t>Reasoning</t>
  </si>
  <si>
    <t>Aircraft concept &amp; assumptions</t>
  </si>
  <si>
    <t>High-wing, conventional-tail trainer, 1.10 m span x 0.22 m mean chord (S ≈ 0.24 m², AR 5), single tractor motor, ailerons + elevator + rudder + throttle (4 control channels + throttle). Assumptions: sea-level air, foam airframe built to ~0.86 m² of skin area, 3S LiPo, CLmax 1.1, cruise L/D 6, 80% usable battery. Estimated takeoff mass ≈ 0.87 kg (budget) / 0.84 kg (performance); wing loading ≈ 36 g/dm²; stall speed ≈ 7 m/s.</t>
  </si>
  <si>
    <t>C1. Motor–propeller match &amp; thrust check</t>
  </si>
  <si>
    <t>A2212 1000 KV on 3S (11.1 V) spins ≈ 11,100 rpm unloaded, ≈ 8,900 rpm loaded (assume 80%). A 10x4.7 slow-fly prop gives a pitch speed ≈ 17.7 m/s – about 2.4x the stall speed, so thrust is still useful at climb/cruise speed – and a static thrust near 700 g at ≈ 14 A (≈ 155 W, at the motor’s ~160 W rating, so avoid long full-throttle runs). Sellers also list 10x6 / 9x5 as suitable props; the lower-pitch 10x4.7 is chosen for hand-launch static thrust at lower current. Thrust-check method: (1) bench: clamp motor, ESC, prop and battery on a rig, hang or lever it against a kitchen scale / load cell, run full throttle for ≤ 10 s in short bursts, log thrust, amps (watt meter), volts and motor temperature; (2) accept if static T/W ≥ 0.6 (hand launch) and preferably ≥ 0.8, current ≤ 80% of ESC rating, voltage sag &lt; 10%, motor/ESC &lt; 70 °C; (3) cross-check against a propulsion calculator such as eCalc; (4) flight: confirm a steady climb with throttle in reserve.</t>
  </si>
  <si>
    <t>C2. ESC rating &amp; electrical margin</t>
  </si>
  <si>
    <t>Full-throttle current ≈ 14 A (assumed; verify). Prop changes (10x6 ≈ 17–18 A), a warm battery and stall transients argue for ≥ 1.5–2x margin, so a 30 A ESC (≈ 2.1x) is the budget choice and 40 A (≈ 2.9x) the performance choice. Also check: 3S (12.6 V) is within the ESC’s 2–4S range; BEC must supply 5 V for the receiver + four servos (peak ≈ 1 A, average ≈ 0.3 A) – a linear BEC on 3S dissipates (12.6–5) × I, so if the ESC runs hot with all servos loaded add an external UBEC. Calibrate throttle endpoints, disable brake and set battery cut-off for 3S.</t>
  </si>
  <si>
    <t>C3. Battery selection &amp; trade-offs</t>
  </si>
  <si>
    <t>3S matches the motor KV/prop pairing (pack voltage sets rpm). 2200 mAh 30C: usable ≈ 1.76 Ah; continuous capability 2.2 Ah × 30C = 66 A vs ≈ 14 A demand (≈ 4.7x) even if the C rating is optimistic. Planned mixed flying (≈ 7 A average) gives ≈ 15 min; steady cruise alone ≈ 34 min (optimistic upper bound). Trade-offs (Calcs table): 1500 mAh saves ≈ 60 g (higher T/W, lower wing loading) but shortens mixed flights to ≈ 10 min; 3000 mAh adds ≈ 60 g and raises wing loading and stall speed for ≈ 20 min. 2200 mAh balances endurance and mass for a ~0.9 kg foam trainer. Use XT60 connectors, a balance charger, storage at ~3.8 V/cell, and a LiPo bag. Battery position is the main CG-trim tool.</t>
  </si>
  <si>
    <t>C4. Servo count &amp; control surfaces</t>
  </si>
  <si>
    <t>Four 9 g servos: two ailerons (one per wing, separate servos so they can be differenced/mixed or driven through a Y-harness), one elevator, one rudder. Throttle goes directly to the ESC. Hinge-moment check: dynamic pressure at a 20 m/s dive ≈ 245 Pa; a 0.3 x 0.06 m elevator with a conservative hinge-moment coefficient of 0.1 needs &lt; 0.3 kgf·cm, versus ≈ 1.6 kgf·cm servo stall torque (SG90 class) – margin &gt; 5x. Metal-gear MG90S is the upgrade where crash/strip-out loads matter.</t>
  </si>
  <si>
    <t>C5. Structural material</t>
  </si>
  <si>
    <t>Foam-core board (Budget) is cheapest, locally available and repairable with hot glue/tape in minutes, but heavier (~0.30 kg/m²). Depron-type XPS (Performance) is ~1/3 lighter but costs more and is harder to source in India. Local carbon reinforcement only where needed: main spar (Calcs: 3 g bending stress ≈ 140 MPa for the 6 mm rod, SF &gt; 4 even ignoring foam skins; the 8x6 mm tube ≈ 2x stiffer and lighter) and optional 3 mm carbon longerons. Balsa is lightest per stiffness but fragile and slower to repair; EPP is tough but needs moulds/imports; full composites are costly and hard to repair. Scores below.</t>
  </si>
  <si>
    <t>C6. Compatibility checks</t>
  </si>
  <si>
    <t>Electrical: pack voltage 3S (≤ 12.6 V) ≤ ESC and motor limits; XT60 battery ↔ ESC; 3.5 mm bullets motor ↔ ESC; ESC 3-wire lead into the throttle channel of the receiver (BEC 5 V powers Rx/servos); servos 4.8–6 V; wire gauge ≥ 14 AWG for power leads; check motor spins the right way (swap any two phases). Mechanical: motor can 28 mm and cross-mount 16/19 mm pattern vs firewall; prop adapter bore vs shaft diameter (vendors list 3.17 vs 3.7 mm – confirm); 127 mm prop radius vs ground/fuselage clearance; servo arm/horn throw geometry; CG 25–33% of mean chord (≈ 55–73 mm behind leading edge) set by moving the battery. Transmitter–receiver: FlySky FS-i6X (AFHDS 2A) with FS-iA6B/iA10B (AFHDS 2A) – same protocol, bind by holding the BIND key while powering the Tx; set throttle-cut failsafe; at least 5 channels. The ELRS alternative needs an ELRS receiver on a compatible firmware major version and the same binding phrase. Before first flight: range check at ~30 m with reduced power, control-direction check, and motor test with the prop fitted only after a bench run.</t>
  </si>
  <si>
    <t>Structural material scoring (1-5, 5 = best; weights are inputs)</t>
  </si>
  <si>
    <t>Material</t>
  </si>
  <si>
    <t>Mass</t>
  </si>
  <si>
    <t>Strength/stiffness</t>
  </si>
  <si>
    <t>Repairability</t>
  </si>
  <si>
    <t>Foam-core (Kapa) board + CF spar</t>
  </si>
  <si>
    <t>Depron/XPS foam + CF spar</t>
  </si>
  <si>
    <t>Balsa/ply built-up + film</t>
  </si>
  <si>
    <t>EPP/EPO foam</t>
  </si>
  <si>
    <t>Carbon/glass composite shell</t>
  </si>
  <si>
    <t>3D-printed LW-PLA</t>
  </si>
  <si>
    <t>Scores are judgement-based; the foam-core board build is selected for the competition on cost and repairability, with Depron-type foam the lighter alternative.</t>
  </si>
  <si>
    <t>Calculations &amp; assumptions – RC aircraft (blue = input/assumption, black = formula)</t>
  </si>
  <si>
    <t>Parameter</t>
  </si>
  <si>
    <t>Budget config</t>
  </si>
  <si>
    <t>Performance config</t>
  </si>
  <si>
    <t>Unit</t>
  </si>
  <si>
    <t>Note / basis</t>
  </si>
  <si>
    <t>GEOMETRY, MASS AND WING LOADING</t>
  </si>
  <si>
    <t>Wingspan</t>
  </si>
  <si>
    <t>m</t>
  </si>
  <si>
    <t>Brief: 1-1.2 m. Assumed high-wing, flat-bottom foam wing.</t>
  </si>
  <si>
    <t>Mean chord</t>
  </si>
  <si>
    <t>Assumed -&gt; aspect ratio ~5 (docile trainer).</t>
  </si>
  <si>
    <t>Wing area</t>
  </si>
  <si>
    <t>m²</t>
  </si>
  <si>
    <t>b x c</t>
  </si>
  <si>
    <t>Aspect ratio</t>
  </si>
  <si>
    <t>-</t>
  </si>
  <si>
    <t>b²/S</t>
  </si>
  <si>
    <t>Foam area used (wing 2 surfaces + fuselage + tail)</t>
  </si>
  <si>
    <t>Assumed build: wing 0.44 + fuselage 0.30 + tail 0.12 m².</t>
  </si>
  <si>
    <t>Foam areal density</t>
  </si>
  <si>
    <t>kg/m²</t>
  </si>
  <si>
    <t>Assumed: 5 mm foam-core board incl. paper skins ~0.30; 6 mm Depron-type XPS ~0.20. Weigh a sheet to confirm.</t>
  </si>
  <si>
    <t>Dry mass of flying items (from BOM)</t>
  </si>
  <si>
    <t>g</t>
  </si>
  <si>
    <t>Sum of installed masses in BOM (ground-support items = 0 g).</t>
  </si>
  <si>
    <t>Contingency (paint, CG trim, extra glue)</t>
  </si>
  <si>
    <t>fraction</t>
  </si>
  <si>
    <t>Assumed 5%.</t>
  </si>
  <si>
    <t>Estimated takeoff mass</t>
  </si>
  <si>
    <t>Bonus: takeoff mass.</t>
  </si>
  <si>
    <t>Gravitational acceleration</t>
  </si>
  <si>
    <t>m/s²</t>
  </si>
  <si>
    <t>Takeoff weight</t>
  </si>
  <si>
    <t>N</t>
  </si>
  <si>
    <t>Wing loading</t>
  </si>
  <si>
    <t>g/dm²</t>
  </si>
  <si>
    <t>Trainer range ~20-40 g/dm².</t>
  </si>
  <si>
    <t>Air density</t>
  </si>
  <si>
    <t>kg/m³</t>
  </si>
  <si>
    <t>ISA sea level (use ~1.0-1.1 at high-altitude sites; reduces thrust and lift).</t>
  </si>
  <si>
    <t>Wing CL,max</t>
  </si>
  <si>
    <t>Conservative for a thin cambered foam wing at low Re.</t>
  </si>
  <si>
    <t>Stall speed</t>
  </si>
  <si>
    <t>m/s</t>
  </si>
  <si>
    <t>Vs = sqrt(2W / (rho S CLmax))</t>
  </si>
  <si>
    <t>Cruise speed</t>
  </si>
  <si>
    <t>Assumed 1.5 x Vs.</t>
  </si>
  <si>
    <t>PROPULSION &amp; ELECTRICAL</t>
  </si>
  <si>
    <t>Battery cells (S)</t>
  </si>
  <si>
    <t>3S LiPo.</t>
  </si>
  <si>
    <t>Nominal pack voltage</t>
  </si>
  <si>
    <t>V</t>
  </si>
  <si>
    <t>3.7 V/cell.</t>
  </si>
  <si>
    <t>Motor KV</t>
  </si>
  <si>
    <t>rpm/V</t>
  </si>
  <si>
    <t>Manufacturer rating.</t>
  </si>
  <si>
    <t>Loaded-rpm factor</t>
  </si>
  <si>
    <t>Assumed: loaded rpm ~80% of no-load.</t>
  </si>
  <si>
    <t>Loaded rpm</t>
  </si>
  <si>
    <t>rpm</t>
  </si>
  <si>
    <t>KV x V x factor</t>
  </si>
  <si>
    <t>Propeller diameter</t>
  </si>
  <si>
    <t>in</t>
  </si>
  <si>
    <t>10 in prop; ground clearance OK on high wing (radius 127 mm).</t>
  </si>
  <si>
    <t>Propeller pitch</t>
  </si>
  <si>
    <t>Pitch speed</t>
  </si>
  <si>
    <t>Thrust falls to ~0 as airspeed approaches this.</t>
  </si>
  <si>
    <t>Static thrust at full throttle (ASSUMED)</t>
  </si>
  <si>
    <t>Robu's A2212 page claims ~700 g; R2 is an estimate. MUST be verified on a thrust rig.</t>
  </si>
  <si>
    <t>Target &gt;= 0.6 for hand launch, &gt;= ~0.8 comfortable.</t>
  </si>
  <si>
    <t>Full-throttle current (ASSUMED)</t>
  </si>
  <si>
    <t>A</t>
  </si>
  <si>
    <t>10x4.7 on 3S; verify with watt meter.</t>
  </si>
  <si>
    <t>Electrical power at full throttle</t>
  </si>
  <si>
    <t>W</t>
  </si>
  <si>
    <t>Motor rated ~160 W class: slightly above rating, so limit full-throttle bursts.</t>
  </si>
  <si>
    <t>ESC continuous rating</t>
  </si>
  <si>
    <t>From BOM.</t>
  </si>
  <si>
    <t>ESC margin</t>
  </si>
  <si>
    <t>x</t>
  </si>
  <si>
    <t>Target &gt;= 1.5x (&gt;= 2x preferred).</t>
  </si>
  <si>
    <t>Battery capacity</t>
  </si>
  <si>
    <t>mAh</t>
  </si>
  <si>
    <t>Battery C rating (continuous)</t>
  </si>
  <si>
    <t>C</t>
  </si>
  <si>
    <t>Manufacturer rating; treat as optimistic.</t>
  </si>
  <si>
    <t>Battery max continuous current</t>
  </si>
  <si>
    <t>Battery current margin</t>
  </si>
  <si>
    <t>Target &gt;= 2x.</t>
  </si>
  <si>
    <t>PERFORMANCE &amp; ENDURANCE (SIMPLIFIED MODEL)</t>
  </si>
  <si>
    <t>Assumed cruise lift-to-drag ratio</t>
  </si>
  <si>
    <t>Conservative for a foam trainer.</t>
  </si>
  <si>
    <t>Cruise drag = W / (L/D)</t>
  </si>
  <si>
    <t>Overall propulsion efficiency (battery to thrust power)</t>
  </si>
  <si>
    <t>Assumed.</t>
  </si>
  <si>
    <t>Cruise electrical power</t>
  </si>
  <si>
    <t>Cruise current</t>
  </si>
  <si>
    <t>Usable battery fraction</t>
  </si>
  <si>
    <t>Land at ~20% remaining to protect the LiPo.</t>
  </si>
  <si>
    <t>Endurance, steady cruise</t>
  </si>
  <si>
    <t>min</t>
  </si>
  <si>
    <t>Optimistic upper bound.</t>
  </si>
  <si>
    <t>Average current, mixed flying (ASSUMED)</t>
  </si>
  <si>
    <t>Climbs + manoeuvres; measure with watt meter/telemetry.</t>
  </si>
  <si>
    <t>Endurance, mixed flying</t>
  </si>
  <si>
    <t>Planning figure.</t>
  </si>
  <si>
    <t>Best-climb airspeed (assumed)</t>
  </si>
  <si>
    <t>Thrust at climb speed</t>
  </si>
  <si>
    <t>Linear thrust decay with airspeed (simplification).</t>
  </si>
  <si>
    <t>Excess thrust</t>
  </si>
  <si>
    <t>Drag at climb speed taken equal to cruise drag.</t>
  </si>
  <si>
    <t>Rate of climb</t>
  </si>
  <si>
    <t>ROC = (T-D)V/W</t>
  </si>
  <si>
    <t>Cruise thrust needed / static thrust</t>
  </si>
  <si>
    <t>Low value = lots of throttle headroom.</t>
  </si>
  <si>
    <t>Propulsion sufficiency verdict</t>
  </si>
  <si>
    <t>PASS if T/W&gt;=0.6, ROC&gt;=1 m/s, Vs&lt;9 m/s, ESC margin&gt;=1.5x, battery margin&gt;=2x.</t>
  </si>
  <si>
    <t>WING SPAR BENDING CHECK (3 g PULL-UP)</t>
  </si>
  <si>
    <t>Load factor</t>
  </si>
  <si>
    <t>Total lift at load factor</t>
  </si>
  <si>
    <t>Root bending moment (elliptical load)</t>
  </si>
  <si>
    <t>N·m</t>
  </si>
  <si>
    <t>Half-wing, elliptical lift distribution; foam skins ignored (conservative).</t>
  </si>
  <si>
    <t>Spar outer diameter</t>
  </si>
  <si>
    <t>mm</t>
  </si>
  <si>
    <t>Spar inner diameter</t>
  </si>
  <si>
    <t>0 = solid rod.</t>
  </si>
  <si>
    <t>Second moment of area</t>
  </si>
  <si>
    <t>m⁴</t>
  </si>
  <si>
    <t>Bending stress</t>
  </si>
  <si>
    <t>MPa</t>
  </si>
  <si>
    <t>sigma = M c / I</t>
  </si>
  <si>
    <t>Allowable flexural stress (conservative)</t>
  </si>
  <si>
    <t>Assumed for pultruded carbon rod/tube; request supplier data.</t>
  </si>
  <si>
    <t>Safety factor</t>
  </si>
  <si>
    <t>Target &gt;= 2 at 3 g.</t>
  </si>
  <si>
    <t>BATTERY CAPACITY TRADE-OFF (budget airframe, 3S 30C)</t>
  </si>
  <si>
    <t>Metric</t>
  </si>
  <si>
    <t>Option 1</t>
  </si>
  <si>
    <t>Option 2 (baseline)</t>
  </si>
  <si>
    <t>Option 3</t>
  </si>
  <si>
    <t>Note</t>
  </si>
  <si>
    <t>Capacity (mAh)</t>
  </si>
  <si>
    <t>Orange 3S options on Robu.</t>
  </si>
  <si>
    <t>Battery mass (g)</t>
  </si>
  <si>
    <t>Approximate; confirm from datasheet.</t>
  </si>
  <si>
    <t>(dry mass - baseline battery + this battery) x (1+contingency)</t>
  </si>
  <si>
    <t>Budget static thrust</t>
  </si>
  <si>
    <t>At average current above (optimistic: ignores heavier-weight current increase)</t>
  </si>
  <si>
    <t>Continuous current capability at 30C (A)</t>
  </si>
  <si>
    <t>Needs &gt;&gt; full-throttle current</t>
  </si>
  <si>
    <t>Sources and price basis</t>
  </si>
  <si>
    <t>Reference</t>
  </si>
  <si>
    <t>URL</t>
  </si>
  <si>
    <t>Use / price basis</t>
  </si>
  <si>
    <t>Robu – A2212 1000 KV motor (listing ₹375; claims ~700 g thrust, notes low-grade bearings/vibration)</t>
  </si>
  <si>
    <t>https://aws.robu.in/product/a2212-1000-kv-bldc-brushless-dc-motor-for-drone-without-soldered-connector</t>
  </si>
  <si>
    <t>Listing-based price</t>
  </si>
  <si>
    <t>Robu – A2212 1000 KV motor + SimonK 30 A ESC (ESC listed ₹342 on related page)</t>
  </si>
  <si>
    <t>https://aws.robu.in/?p=5933</t>
  </si>
  <si>
    <t>Listing-based price (ESC)</t>
  </si>
  <si>
    <t>RobotShop – A2212 1000 KV spec (160 W, recommended props 1060 / 9050)</t>
  </si>
  <si>
    <t>https://ca.robotshop.com/products/e-s-motor-xxd-a2212-brushless-motor-160w-mounting-base-kits-kv-1000</t>
  </si>
  <si>
    <t>Spec reference</t>
  </si>
  <si>
    <t>Robu – Orange 3S 2200 mAh 30C LiPo</t>
  </si>
  <si>
    <t>https://robu.in/?p=23741</t>
  </si>
  <si>
    <t>Product page; price estimated – check live</t>
  </si>
  <si>
    <t>Robu – Orange LiPo category (30C/40C options)</t>
  </si>
  <si>
    <t>https://robu.in/product-category/batteries/battery/lithium-polymer-li-po</t>
  </si>
  <si>
    <t>Category page</t>
  </si>
  <si>
    <t>Probots – 3S 2200 mAh 60C (burst) LiPo</t>
  </si>
  <si>
    <t>https://probots.co.in/11-1v-2200mah-60c-3s-lipo-battery-lithium-polymer.html</t>
  </si>
  <si>
    <t>Alternative vendor</t>
  </si>
  <si>
    <t>Robu – FlySky FS-i6X + FS-iA10B bundle (AFHDS 2A, 6 ch Tx, 10 ch Rx)</t>
  </si>
  <si>
    <t>https://st.robu.in/?p=33428</t>
  </si>
  <si>
    <t>Product page; price estimated (Rs ~5,500 for Tx+Rx)</t>
  </si>
  <si>
    <t>Probots – FlySky FS-i6X + iA10B (bind procedure, AA battery Tx)</t>
  </si>
  <si>
    <t>https://probots.co.in/flysky-fs-i6x-10ch-rc-transmitter-ia10b-receiver.html</t>
  </si>
  <si>
    <t>Product page</t>
  </si>
  <si>
    <t>All other items: Amazon.in / Robu search links</t>
  </si>
  <si>
    <t>https://www.amazon.in/</t>
  </si>
  <si>
    <t>Prices are my estimates for Indian online/hobby stores; no live listing was verified. Re-check before ordering.</t>
  </si>
</sst>
</file>

<file path=xl/styles.xml><?xml version="1.0" encoding="utf-8"?>
<styleSheet xmlns="http://schemas.openxmlformats.org/spreadsheetml/2006/main">
  <numFmts count="9">
    <numFmt numFmtId="0" formatCode="General"/>
    <numFmt numFmtId="164" formatCode="\₹#,##0"/>
    <numFmt numFmtId="3" formatCode="#,##0"/>
    <numFmt numFmtId="165" formatCode="0.0"/>
    <numFmt numFmtId="2" formatCode="0.00"/>
    <numFmt numFmtId="49" formatCode="@"/>
    <numFmt numFmtId="166" formatCode="0.000"/>
    <numFmt numFmtId="9" formatCode="0%"/>
    <numFmt numFmtId="11" formatCode="0.00E+00"/>
  </numFmts>
  <fonts count="9">
    <font>
      <name val="Calibri"/>
      <sz val="11"/>
    </font>
    <font>
      <name val="Arial"/>
      <b/>
      <charset val="1"/>
      <sz val="12"/>
    </font>
    <font>
      <name val="Arial"/>
      <i/>
      <charset val="1"/>
      <sz val="10"/>
    </font>
    <font>
      <name val="Arial"/>
      <b/>
      <charset val="1"/>
      <sz val="10"/>
      <color rgb="FFFFFFFF"/>
    </font>
    <font>
      <name val="Arial"/>
      <charset val="1"/>
      <sz val="10"/>
    </font>
    <font>
      <name val="Arial"/>
      <charset val="1"/>
      <sz val="10"/>
      <color rgb="FF0000FF"/>
    </font>
    <font>
      <name val="Arial"/>
      <charset val="1"/>
      <sz val="10"/>
      <color rgb="FF008000"/>
    </font>
    <font>
      <name val="Arial"/>
      <charset val="1"/>
      <u/>
      <sz val="10"/>
      <color rgb="FF0563C1"/>
    </font>
    <font>
      <name val="Arial"/>
      <b/>
      <charset val="1"/>
      <sz val="10"/>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D9E2F3"/>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lignment vertical="center"/>
    </xf>
  </cellStyleXfs>
  <cellXfs count="41">
    <xf numFmtId="0" fontId="0" fillId="0" borderId="0" xfId="0">
      <alignment vertical="center"/>
    </xf>
    <xf numFmtId="0" fontId="1" fillId="0" borderId="0" xfId="0" applyFont="1" applyAlignment="1">
      <alignment vertical="bottom"/>
    </xf>
    <xf numFmtId="0" fontId="2" fillId="0" borderId="0" xfId="0" applyFont="1" applyAlignment="1">
      <alignment vertical="bottom"/>
    </xf>
    <xf numFmtId="0" fontId="3" fillId="2" borderId="1" xfId="0" applyFont="1" applyBorder="1" applyAlignment="1">
      <alignment horizontal="center"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164" fontId="5" fillId="0" borderId="1" xfId="0" applyFont="1" applyBorder="1" applyAlignment="1">
      <alignment vertical="top" wrapText="1"/>
    </xf>
    <xf numFmtId="164" fontId="4" fillId="0" borderId="1" xfId="0" applyFont="1" applyBorder="1" applyAlignment="1">
      <alignment vertical="bottom"/>
    </xf>
    <xf numFmtId="3" fontId="6" fillId="0" borderId="1" xfId="0" applyFont="1" applyBorder="1" applyAlignment="1">
      <alignment vertical="bottom"/>
    </xf>
    <xf numFmtId="0" fontId="7" fillId="0" borderId="1" xfId="0" applyFont="1" applyBorder="1" applyAlignment="1">
      <alignment vertical="top" wrapText="1"/>
    </xf>
    <xf numFmtId="3" fontId="5" fillId="0" borderId="1" xfId="0" applyFont="1" applyBorder="1" applyAlignment="1">
      <alignment vertical="bottom"/>
    </xf>
    <xf numFmtId="0" fontId="8" fillId="3" borderId="0" xfId="0" applyFont="1" applyAlignment="1">
      <alignment vertical="bottom"/>
    </xf>
    <xf numFmtId="164" fontId="8" fillId="3" borderId="0" xfId="0" applyFont="1" applyAlignment="1">
      <alignment vertical="bottom"/>
    </xf>
    <xf numFmtId="3" fontId="8" fillId="3" borderId="0" xfId="0" applyFont="1" applyAlignment="1">
      <alignment vertical="bottom"/>
    </xf>
    <xf numFmtId="0" fontId="3" fillId="2" borderId="0" xfId="0" applyFont="1" applyAlignment="1">
      <alignment vertical="bottom"/>
    </xf>
    <xf numFmtId="0" fontId="4" fillId="0" borderId="0" xfId="0" applyFont="1" applyAlignment="1">
      <alignment vertical="bottom"/>
    </xf>
    <xf numFmtId="164" fontId="4" fillId="0" borderId="0" xfId="0" applyFont="1" applyAlignment="1">
      <alignment vertical="bottom"/>
    </xf>
    <xf numFmtId="0" fontId="8" fillId="4" borderId="0" xfId="0" applyFont="1" applyAlignment="1">
      <alignment vertical="bottom"/>
    </xf>
    <xf numFmtId="0" fontId="4" fillId="4" borderId="0" xfId="0" applyFont="1" applyAlignment="1">
      <alignment vertical="bottom"/>
    </xf>
    <xf numFmtId="3" fontId="6" fillId="0" borderId="0" xfId="0" applyFont="1" applyAlignment="1">
      <alignment vertical="bottom"/>
    </xf>
    <xf numFmtId="165" fontId="6" fillId="0" borderId="0" xfId="0" applyFont="1" applyAlignment="1">
      <alignment vertical="bottom"/>
    </xf>
    <xf numFmtId="2" fontId="6" fillId="0" borderId="0" xfId="0" applyFont="1" applyAlignment="1">
      <alignment vertical="bottom"/>
    </xf>
    <xf numFmtId="49" fontId="6" fillId="0" borderId="0" xfId="0" applyFont="1" applyAlignment="1">
      <alignment vertical="bottom"/>
    </xf>
    <xf numFmtId="166" fontId="4" fillId="0" borderId="0" xfId="0" applyFont="1" applyAlignment="1">
      <alignment vertical="bottom"/>
    </xf>
    <xf numFmtId="0" fontId="4" fillId="0" borderId="0" xfId="0" applyFont="1" applyAlignment="1">
      <alignment vertical="top" wrapText="1"/>
    </xf>
    <xf numFmtId="0" fontId="4" fillId="3" borderId="0" xfId="0" applyFont="1" applyAlignment="1">
      <alignment vertical="bottom"/>
    </xf>
    <xf numFmtId="0" fontId="4" fillId="0" borderId="0" xfId="0" applyFont="1" applyBorder="1" applyAlignment="1">
      <alignment vertical="top" wrapText="1"/>
    </xf>
    <xf numFmtId="0" fontId="5" fillId="0" borderId="0" xfId="0" applyFont="1" applyAlignment="1">
      <alignment vertical="bottom"/>
    </xf>
    <xf numFmtId="9" fontId="5" fillId="0" borderId="0" xfId="0" applyFont="1" applyAlignment="1">
      <alignment vertical="bottom"/>
    </xf>
    <xf numFmtId="2" fontId="8" fillId="3" borderId="0" xfId="0" applyFont="1" applyAlignment="1">
      <alignment vertical="bottom"/>
    </xf>
    <xf numFmtId="9" fontId="8" fillId="3" borderId="0" xfId="0" applyFont="1" applyAlignment="1">
      <alignment vertical="bottom"/>
    </xf>
    <xf numFmtId="0" fontId="8" fillId="0" borderId="0" xfId="0" applyFont="1" applyAlignment="1">
      <alignment vertical="bottom"/>
    </xf>
    <xf numFmtId="0" fontId="8" fillId="0" borderId="0" xfId="0" applyFont="1" applyAlignment="1">
      <alignment vertical="top" wrapText="1"/>
    </xf>
    <xf numFmtId="2" fontId="4" fillId="0" borderId="0" xfId="0" applyFont="1" applyAlignment="1">
      <alignment vertical="bottom"/>
    </xf>
    <xf numFmtId="0" fontId="3" fillId="2" borderId="0" xfId="0" applyFont="1" applyAlignment="1">
      <alignment vertical="center" wrapText="1"/>
    </xf>
    <xf numFmtId="3" fontId="4" fillId="0" borderId="0" xfId="0" applyFont="1" applyAlignment="1">
      <alignment vertical="bottom"/>
    </xf>
    <xf numFmtId="2" fontId="5" fillId="0" borderId="0" xfId="0" applyFont="1" applyAlignment="1">
      <alignment vertical="bottom"/>
    </xf>
    <xf numFmtId="11" fontId="4" fillId="0" borderId="0" xfId="0" applyFont="1" applyAlignment="1">
      <alignment vertical="bottom"/>
    </xf>
    <xf numFmtId="3" fontId="5" fillId="0" borderId="0" xfId="0" applyFont="1" applyAlignment="1">
      <alignment vertical="bottom"/>
    </xf>
    <xf numFmtId="165" fontId="4" fillId="0" borderId="0" xfId="0" applyFont="1" applyAlignment="1">
      <alignment vertical="bottom"/>
    </xf>
    <xf numFmtId="0" fontId="7" fillId="0" borderId="0" xfId="0" applyFont="1" applyAlignment="1">
      <alignment vertical="bottom"/>
    </xf>
  </cellXfs>
  <cellStyles count="1">
    <cellStyle name="常规" xfId="0" builtinId="0"/>
  </cellStyles>
  <dxfs count="0"/>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808080"/>
      <rgbColor rgb="009999FF"/>
      <rgbColor rgb="00993366"/>
      <rgbColor rgb="00FFF2CC"/>
      <rgbColor rgb="00CCFFFF"/>
      <rgbColor rgb="00660066"/>
      <rgbColor rgb="00FF8080"/>
      <rgbColor rgb="000563C1"/>
      <rgbColor rgb="00D9E2F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www.wps.cn/officeDocument/2020/cellImage" Target="cellimages.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in/s?k=foam%20board%205mm%20sheet" TargetMode="External"/><Relationship Id="rId2" Type="http://schemas.openxmlformats.org/officeDocument/2006/relationships/hyperlink" Target="https://www.amazon.in/s?k=depron%20foam%20sheet%206mm" TargetMode="External"/><Relationship Id="rId3" Type="http://schemas.openxmlformats.org/officeDocument/2006/relationships/hyperlink" Target="https://www.amazon.in/s?k=carbon%20fiber%20rod%206mm%201m" TargetMode="External"/><Relationship Id="rId4" Type="http://schemas.openxmlformats.org/officeDocument/2006/relationships/hyperlink" Target="https://www.amazon.in/s?k=carbon%20fiber%20tube%208mm%206mm%201m" TargetMode="External"/><Relationship Id="rId5" Type="http://schemas.openxmlformats.org/officeDocument/2006/relationships/hyperlink" Target="https://www.amazon.in/s?k=bamboo%20skewers%203mm" TargetMode="External"/><Relationship Id="rId6" Type="http://schemas.openxmlformats.org/officeDocument/2006/relationships/hyperlink" Target="https://www.amazon.in/s?k=carbon%20fiber%20rod%203mm%201m" TargetMode="External"/><Relationship Id="rId7" Type="http://schemas.openxmlformats.org/officeDocument/2006/relationships/hyperlink" Target="https://www.amazon.in/s?k=rc%20airplane%20landing%20gear%20wheels%203mm" TargetMode="External"/><Relationship Id="rId8" Type="http://schemas.openxmlformats.org/officeDocument/2006/relationships/hyperlink" Target="https://www.amazon.in/s?k=rc%20airplane%20aluminum%20landing%20gear%20wheels" TargetMode="External"/><Relationship Id="rId9" Type="http://schemas.openxmlformats.org/officeDocument/2006/relationships/hyperlink" Target="https://aws.robu.in/product/a2212-1000-kv-bldc-brushless-dc-motor-for-drone-without-soldered-connector" TargetMode="External"/><Relationship Id="rId10" Type="http://schemas.openxmlformats.org/officeDocument/2006/relationships/hyperlink" Target="https://www.amazon.in/s?k=sunnysky%20x2212%20980kv" TargetMode="External"/><Relationship Id="rId11" Type="http://schemas.openxmlformats.org/officeDocument/2006/relationships/hyperlink" Target="https://robu.in/?s=simonk%2030a%20esc&amp;post_type=product" TargetMode="External"/><Relationship Id="rId12" Type="http://schemas.openxmlformats.org/officeDocument/2006/relationships/hyperlink" Target="https://www.amazon.in/s?k=hobbywing%20skywalker%2040a%20esc" TargetMode="External"/><Relationship Id="rId13" Type="http://schemas.openxmlformats.org/officeDocument/2006/relationships/hyperlink" Target="https://www.amazon.in/s?k=10x4.7%20slow%20fly%20propeller" TargetMode="External"/><Relationship Id="rId14" Type="http://schemas.openxmlformats.org/officeDocument/2006/relationships/hyperlink" Target="https://www.amazon.in/s?k=apc%2010x4.7%20sf%20propeller" TargetMode="External"/><Relationship Id="rId15" Type="http://schemas.openxmlformats.org/officeDocument/2006/relationships/hyperlink" Target="https://robu.in/?p=23741" TargetMode="External"/><Relationship Id="rId16" Type="http://schemas.openxmlformats.org/officeDocument/2006/relationships/hyperlink" Target="https://robu.in/product-category/batteries/battery/lithium-polymer-li-po" TargetMode="External"/><Relationship Id="rId17" Type="http://schemas.openxmlformats.org/officeDocument/2006/relationships/hyperlink" Target="https://st.robu.in/?p=33428" TargetMode="External"/><Relationship Id="rId18" Type="http://schemas.openxmlformats.org/officeDocument/2006/relationships/hyperlink" Target="https://www.amazon.in/s?k=radiomaster%20pocket%20elrs" TargetMode="External"/><Relationship Id="rId19" Type="http://schemas.openxmlformats.org/officeDocument/2006/relationships/hyperlink" Target="https://probots.co.in/flysky-fs-i6x-10ch-rc-transmitter-ia10b-receiver.html" TargetMode="External"/><Relationship Id="rId20" Type="http://schemas.openxmlformats.org/officeDocument/2006/relationships/hyperlink" Target="https://www.amazon.in/s?k=radiomaster%20er6%20elrs%20receiver" TargetMode="External"/><Relationship Id="rId21" Type="http://schemas.openxmlformats.org/officeDocument/2006/relationships/hyperlink" Target="https://www.amazon.in/s?k=sg90%20micro%20servo" TargetMode="External"/><Relationship Id="rId22" Type="http://schemas.openxmlformats.org/officeDocument/2006/relationships/hyperlink" Target="https://www.amazon.in/s?k=mg90s%20metal%20gear%20servo" TargetMode="External"/><Relationship Id="rId23" Type="http://schemas.openxmlformats.org/officeDocument/2006/relationships/hyperlink" Target="https://www.amazon.in/s?k=rc%20airplane%20pushrod%20clevis%20control%20horn%20kit" TargetMode="External"/><Relationship Id="rId24" Type="http://schemas.openxmlformats.org/officeDocument/2006/relationships/hyperlink" Target="https://www.amazon.in/s?k=carbon%20pushrod%20control%20horn%20rc%20plane" TargetMode="External"/><Relationship Id="rId25" Type="http://schemas.openxmlformats.org/officeDocument/2006/relationships/hyperlink" Target="https://www.amazon.in/s?k=transparent%20packing%20tape%2048mm" TargetMode="External"/><Relationship Id="rId26" Type="http://schemas.openxmlformats.org/officeDocument/2006/relationships/hyperlink" Target="https://www.amazon.in/s?k=rc%20plane%20covering%20film%20heat%20shrink" TargetMode="External"/><Relationship Id="rId27" Type="http://schemas.openxmlformats.org/officeDocument/2006/relationships/hyperlink" Target="https://www.amazon.in/s?k=3mm%20plywood%20sheet" TargetMode="External"/><Relationship Id="rId28" Type="http://schemas.openxmlformats.org/officeDocument/2006/relationships/hyperlink" Target="https://www.amazon.in/s?k=rc%20motor%20mount%20a2212" TargetMode="External"/><Relationship Id="rId29" Type="http://schemas.openxmlformats.org/officeDocument/2006/relationships/hyperlink" Target="https://robu.in/?s=xt60%20connector&amp;post_type=product" TargetMode="External"/><Relationship Id="rId30" Type="http://schemas.openxmlformats.org/officeDocument/2006/relationships/hyperlink" Target="https://www.amazon.in/s?k=amass%20xt60%20connector" TargetMode="External"/><Relationship Id="rId31" Type="http://schemas.openxmlformats.org/officeDocument/2006/relationships/hyperlink" Target="https://www.amazon.in/s?k=silicone%20wire%2014awg%20heat%20shrink" TargetMode="External"/><Relationship Id="rId32" Type="http://schemas.openxmlformats.org/officeDocument/2006/relationships/hyperlink" Target="https://www.amazon.in/s?k=silicone%20wire%2014awg%20heat%20shrink%20kit" TargetMode="External"/><Relationship Id="rId33" Type="http://schemas.openxmlformats.org/officeDocument/2006/relationships/hyperlink" Target="https://www.amazon.in/s?k=hot%20glue%20gun%20sticks%20epoxy%20araldite" TargetMode="External"/><Relationship Id="rId34" Type="http://schemas.openxmlformats.org/officeDocument/2006/relationships/hyperlink" Target="https://www.amazon.in/s?k=uhu%20por%20foam%20safe%20glue" TargetMode="External"/><Relationship Id="rId35" Type="http://schemas.openxmlformats.org/officeDocument/2006/relationships/hyperlink" Target="https://robu.in/?s=lipo%20battery%20strap&amp;post_type=product" TargetMode="External"/><Relationship Id="rId36" Type="http://schemas.openxmlformats.org/officeDocument/2006/relationships/hyperlink" Target="https://robu.in/?s=lipo%20battery%20strap%2030cm&amp;post_type=product" TargetMode="External"/><Relationship Id="rId37" Type="http://schemas.openxmlformats.org/officeDocument/2006/relationships/hyperlink" Target="https://www.amazon.in/s?k=imax%20b6%20charger%2012v%20adapter" TargetMode="External"/><Relationship Id="rId38" Type="http://schemas.openxmlformats.org/officeDocument/2006/relationships/hyperlink" Target="https://www.amazon.in/s?k=skyrc%20d100%20charger" TargetMode="External"/><Relationship Id="rId39" Type="http://schemas.openxmlformats.org/officeDocument/2006/relationships/hyperlink" Target="https://www.amazon.in/s?k=watt%20meter%20100a%20rc" TargetMode="External"/><Relationship Id="rId40" Type="http://schemas.openxmlformats.org/officeDocument/2006/relationships/hyperlink" Target="https://www.amazon.in/s?k=hx711%20load%20cell%205kg" TargetMode="External"/><Relationship Id="rId41" Type="http://schemas.openxmlformats.org/officeDocument/2006/relationships/hyperlink" Target="https://robu.in/?s=lipo%20safe%20bag&amp;post_type=product" TargetMode="External"/><Relationship Id="rId42" Type="http://schemas.openxmlformats.org/officeDocument/2006/relationships/hyperlink" Target="https://www.amazon.in/s?k=lipo%20battery%20voltage%20alarm%20buzzer" TargetMode="External"/><Relationship Id="rId43" Type="http://schemas.openxmlformats.org/officeDocument/2006/relationships/hyperlink" Target="https://robu.in/?s=sg90%20servo&amp;post_type=product" TargetMode="External"/><Relationship Id="rId44" Type="http://schemas.openxmlformats.org/officeDocument/2006/relationships/hyperlink" Target="https://www.amazon.in/s?k=mg90s%20serv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ws.robu.in/product/a2212-1000-kv-bldc-brushless-dc-motor-for-drone-without-soldered-connector" TargetMode="External"/><Relationship Id="rId2" Type="http://schemas.openxmlformats.org/officeDocument/2006/relationships/hyperlink" Target="https://aws.robu.in/?p=5933" TargetMode="External"/><Relationship Id="rId3" Type="http://schemas.openxmlformats.org/officeDocument/2006/relationships/hyperlink" Target="https://ca.robotshop.com/products/e-s-motor-xxd-a2212-brushless-motor-160w-mounting-base-kits-kv-1000" TargetMode="External"/><Relationship Id="rId4" Type="http://schemas.openxmlformats.org/officeDocument/2006/relationships/hyperlink" Target="https://robu.in/?p=23741" TargetMode="External"/><Relationship Id="rId5" Type="http://schemas.openxmlformats.org/officeDocument/2006/relationships/hyperlink" Target="https://robu.in/product-category/batteries/battery/lithium-polymer-li-po" TargetMode="External"/><Relationship Id="rId6" Type="http://schemas.openxmlformats.org/officeDocument/2006/relationships/hyperlink" Target="https://probots.co.in/11-1v-2200mah-60c-3s-lipo-battery-lithium-polymer.html" TargetMode="External"/><Relationship Id="rId7" Type="http://schemas.openxmlformats.org/officeDocument/2006/relationships/hyperlink" Target="https://st.robu.in/?p=33428" TargetMode="External"/><Relationship Id="rId8" Type="http://schemas.openxmlformats.org/officeDocument/2006/relationships/hyperlink" Target="https://probots.co.in/flysky-fs-i6x-10ch-rc-transmitter-ia10b-receiver.html" TargetMode="External"/><Relationship Id="rId9" Type="http://schemas.openxmlformats.org/officeDocument/2006/relationships/hyperlink" Target="https://www.amazon.in/" TargetMode="External"/></Relationships>
</file>

<file path=xl/worksheets/sheet1.xml><?xml version="1.0" encoding="utf-8"?>
<worksheet xmlns:r="http://schemas.openxmlformats.org/officeDocument/2006/relationships" xmlns="http://schemas.openxmlformats.org/spreadsheetml/2006/main">
  <dimension ref="A1:Q31"/>
  <sheetViews>
    <sheetView workbookViewId="0">
      <pane xSplit="3" ySplit="5" topLeftCell="D6" state="frozen" activePane="bottomRight"/>
      <selection pane="bottomRight" activeCell="A1" sqref="A1"/>
    </sheetView>
  </sheetViews>
  <sheetFormatPr defaultRowHeight="15.0" zeroHeight="1"/>
  <cols>
    <col min="1" max="1" customWidth="1" width="6.0" style="0"/>
    <col min="2" max="2" customWidth="1" width="14.0" style="0"/>
    <col min="3" max="3" customWidth="1" width="28.0" style="0"/>
    <col min="4" max="5" customWidth="1" width="34.0" style="0"/>
    <col min="6" max="6" customWidth="1" width="38.0" style="0"/>
    <col min="7" max="7" customWidth="1" width="9.0" style="0"/>
    <col min="8" max="9" customWidth="1" width="12.0" style="0"/>
    <col min="10" max="11" customWidth="1" width="14.0" style="0"/>
    <col min="12" max="13" customWidth="1" width="12.0" style="0"/>
    <col min="14" max="15" customWidth="1" width="24.0" style="0"/>
    <col min="16" max="16" customWidth="1" width="44.0" style="0"/>
  </cols>
  <sheetData>
    <row r="1" spans="8:8" ht="15.0">
      <c r="A1" s="1" t="s">
        <v>0</v>
      </c>
    </row>
    <row r="2" spans="8:8" ht="15.0">
      <c r="A2" s="2" t="s">
        <v>1</v>
      </c>
    </row>
    <row r="3" spans="8:8" ht="15.0">
      <c r="A3" s="2" t="s">
        <v>2</v>
      </c>
    </row>
    <row r="5" spans="8:8" ht="42.0" customHeight="1">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row>
    <row r="6" spans="8:8" ht="48.0" customHeight="1">
      <c r="A6" s="4" t="s">
        <v>19</v>
      </c>
      <c r="B6" s="4" t="s">
        <v>20</v>
      </c>
      <c r="C6" s="4" t="s">
        <v>21</v>
      </c>
      <c r="D6" s="4" t="s">
        <v>22</v>
      </c>
      <c r="E6" s="4" t="s">
        <v>23</v>
      </c>
      <c r="F6" s="4" t="s">
        <v>24</v>
      </c>
      <c r="G6" s="5">
        <v>3.0</v>
      </c>
      <c r="H6" s="6">
        <v>200.0</v>
      </c>
      <c r="I6" s="6">
        <v>350.0</v>
      </c>
      <c r="J6" s="7">
        <f>G6*H6</f>
        <v>600.0</v>
      </c>
      <c r="K6" s="7">
        <f>G6*I6</f>
        <v>1050.0</v>
      </c>
      <c r="L6" s="8">
        <f>Calcs!B9*Calcs!B10*1000</f>
        <v>258.0</v>
      </c>
      <c r="M6" s="8">
        <f>Calcs!C9*Calcs!C10*1000</f>
        <v>172.0</v>
      </c>
      <c r="N6" s="9" t="s">
        <v>25</v>
      </c>
      <c r="O6" s="9" t="s">
        <v>25</v>
      </c>
      <c r="P6" s="4" t="s">
        <v>26</v>
      </c>
    </row>
    <row r="7" spans="8:8" ht="48.0" customHeight="1">
      <c r="A7" s="4" t="s">
        <v>27</v>
      </c>
      <c r="B7" s="4" t="s">
        <v>20</v>
      </c>
      <c r="C7" s="4" t="s">
        <v>28</v>
      </c>
      <c r="D7" s="4" t="s">
        <v>29</v>
      </c>
      <c r="E7" s="4" t="s">
        <v>30</v>
      </c>
      <c r="F7" s="4" t="s">
        <v>31</v>
      </c>
      <c r="G7" s="5">
        <v>1.0</v>
      </c>
      <c r="H7" s="6">
        <v>300.0</v>
      </c>
      <c r="I7" s="6">
        <v>650.0</v>
      </c>
      <c r="J7" s="7">
        <f>G7*H7</f>
        <v>300.0</v>
      </c>
      <c r="K7" s="7">
        <f>G7*I7</f>
        <v>650.0</v>
      </c>
      <c r="L7" s="10">
        <v>45.0</v>
      </c>
      <c r="M7" s="10">
        <v>35.0</v>
      </c>
      <c r="N7" s="9" t="s">
        <v>25</v>
      </c>
      <c r="O7" s="9" t="s">
        <v>25</v>
      </c>
      <c r="P7" s="4" t="s">
        <v>32</v>
      </c>
    </row>
    <row r="8" spans="8:8" ht="48.0" customHeight="1">
      <c r="A8" s="4" t="s">
        <v>33</v>
      </c>
      <c r="B8" s="4" t="s">
        <v>20</v>
      </c>
      <c r="C8" s="4" t="s">
        <v>34</v>
      </c>
      <c r="D8" s="4" t="s">
        <v>35</v>
      </c>
      <c r="E8" s="4" t="s">
        <v>36</v>
      </c>
      <c r="F8" s="4" t="s">
        <v>37</v>
      </c>
      <c r="G8" s="5">
        <v>1.0</v>
      </c>
      <c r="H8" s="6">
        <v>40.0</v>
      </c>
      <c r="I8" s="6">
        <v>300.0</v>
      </c>
      <c r="J8" s="7">
        <f>G8*H8</f>
        <v>40.0</v>
      </c>
      <c r="K8" s="7">
        <f>G8*I8</f>
        <v>300.0</v>
      </c>
      <c r="L8" s="10">
        <v>10.0</v>
      </c>
      <c r="M8" s="10">
        <v>12.0</v>
      </c>
      <c r="N8" s="9" t="s">
        <v>25</v>
      </c>
      <c r="O8" s="9" t="s">
        <v>25</v>
      </c>
      <c r="P8" s="4" t="s">
        <v>38</v>
      </c>
    </row>
    <row r="9" spans="8:8" ht="48.0" customHeight="1">
      <c r="A9" s="4" t="s">
        <v>39</v>
      </c>
      <c r="B9" s="4" t="s">
        <v>20</v>
      </c>
      <c r="C9" s="4" t="s">
        <v>40</v>
      </c>
      <c r="D9" s="4" t="s">
        <v>41</v>
      </c>
      <c r="E9" s="4" t="s">
        <v>42</v>
      </c>
      <c r="F9" s="4" t="s">
        <v>43</v>
      </c>
      <c r="G9" s="5">
        <v>1.0</v>
      </c>
      <c r="H9" s="6">
        <v>350.0</v>
      </c>
      <c r="I9" s="6">
        <v>900.0</v>
      </c>
      <c r="J9" s="7">
        <f>G9*H9</f>
        <v>350.0</v>
      </c>
      <c r="K9" s="7">
        <f>G9*I9</f>
        <v>900.0</v>
      </c>
      <c r="L9" s="10">
        <v>40.0</v>
      </c>
      <c r="M9" s="10">
        <v>51.0</v>
      </c>
      <c r="N9" s="9" t="s">
        <v>25</v>
      </c>
      <c r="O9" s="9" t="s">
        <v>25</v>
      </c>
      <c r="P9" s="4" t="s">
        <v>44</v>
      </c>
    </row>
    <row r="10" spans="8:8" ht="48.0" customHeight="1">
      <c r="A10" s="4" t="s">
        <v>45</v>
      </c>
      <c r="B10" s="4" t="s">
        <v>46</v>
      </c>
      <c r="C10" s="4" t="s">
        <v>47</v>
      </c>
      <c r="D10" s="4" t="s">
        <v>48</v>
      </c>
      <c r="E10" s="4" t="s">
        <v>49</v>
      </c>
      <c r="F10" s="4" t="s">
        <v>50</v>
      </c>
      <c r="G10" s="5">
        <v>1.0</v>
      </c>
      <c r="H10" s="6">
        <v>375.0</v>
      </c>
      <c r="I10" s="6">
        <v>1700.0</v>
      </c>
      <c r="J10" s="7">
        <f>G10*H10</f>
        <v>375.0</v>
      </c>
      <c r="K10" s="7">
        <f>G10*I10</f>
        <v>1700.0</v>
      </c>
      <c r="L10" s="10">
        <v>58.0</v>
      </c>
      <c r="M10" s="10">
        <v>60.0</v>
      </c>
      <c r="N10" s="9" t="s">
        <v>51</v>
      </c>
      <c r="O10" s="9" t="s">
        <v>25</v>
      </c>
      <c r="P10" s="4" t="s">
        <v>52</v>
      </c>
    </row>
    <row r="11" spans="8:8" ht="48.0" customHeight="1">
      <c r="A11" s="4" t="s">
        <v>53</v>
      </c>
      <c r="B11" s="4" t="s">
        <v>46</v>
      </c>
      <c r="C11" s="4" t="s">
        <v>54</v>
      </c>
      <c r="D11" s="4" t="s">
        <v>55</v>
      </c>
      <c r="E11" s="4" t="s">
        <v>56</v>
      </c>
      <c r="F11" s="4" t="s">
        <v>57</v>
      </c>
      <c r="G11" s="5">
        <v>1.0</v>
      </c>
      <c r="H11" s="6">
        <v>342.0</v>
      </c>
      <c r="I11" s="6">
        <v>1700.0</v>
      </c>
      <c r="J11" s="7">
        <f>G11*H11</f>
        <v>342.0</v>
      </c>
      <c r="K11" s="7">
        <f>G11*I11</f>
        <v>1700.0</v>
      </c>
      <c r="L11" s="10">
        <v>26.0</v>
      </c>
      <c r="M11" s="10">
        <v>35.0</v>
      </c>
      <c r="N11" s="9" t="s">
        <v>58</v>
      </c>
      <c r="O11" s="9" t="s">
        <v>25</v>
      </c>
      <c r="P11" s="4" t="s">
        <v>59</v>
      </c>
    </row>
    <row r="12" spans="8:8" ht="48.0" customHeight="1">
      <c r="A12" s="4" t="s">
        <v>60</v>
      </c>
      <c r="B12" s="4" t="s">
        <v>46</v>
      </c>
      <c r="C12" s="4" t="s">
        <v>61</v>
      </c>
      <c r="D12" s="4" t="s">
        <v>62</v>
      </c>
      <c r="E12" s="4" t="s">
        <v>63</v>
      </c>
      <c r="F12" s="4" t="s">
        <v>64</v>
      </c>
      <c r="G12" s="5">
        <v>3.0</v>
      </c>
      <c r="H12" s="6">
        <v>90.0</v>
      </c>
      <c r="I12" s="6">
        <v>450.0</v>
      </c>
      <c r="J12" s="7">
        <f>G12*H12</f>
        <v>270.0</v>
      </c>
      <c r="K12" s="7">
        <f>G12*I12</f>
        <v>1350.0</v>
      </c>
      <c r="L12" s="10">
        <v>13.0</v>
      </c>
      <c r="M12" s="10">
        <v>14.0</v>
      </c>
      <c r="N12" s="9" t="s">
        <v>25</v>
      </c>
      <c r="O12" s="9" t="s">
        <v>25</v>
      </c>
      <c r="P12" s="4" t="s">
        <v>65</v>
      </c>
    </row>
    <row r="13" spans="8:8" ht="48.0" customHeight="1">
      <c r="A13" s="4" t="s">
        <v>66</v>
      </c>
      <c r="B13" s="4" t="s">
        <v>46</v>
      </c>
      <c r="C13" s="4" t="s">
        <v>67</v>
      </c>
      <c r="D13" s="4" t="s">
        <v>68</v>
      </c>
      <c r="E13" s="4" t="s">
        <v>69</v>
      </c>
      <c r="F13" s="4" t="s">
        <v>70</v>
      </c>
      <c r="G13" s="5">
        <v>1.0</v>
      </c>
      <c r="H13" s="6">
        <v>1450.0</v>
      </c>
      <c r="I13" s="6">
        <v>1750.0</v>
      </c>
      <c r="J13" s="7">
        <f>G13*H13</f>
        <v>1450.0</v>
      </c>
      <c r="K13" s="7">
        <f>G13*I13</f>
        <v>1750.0</v>
      </c>
      <c r="L13" s="10">
        <v>185.0</v>
      </c>
      <c r="M13" s="10">
        <v>190.0</v>
      </c>
      <c r="N13" s="9" t="s">
        <v>51</v>
      </c>
      <c r="O13" s="9" t="s">
        <v>71</v>
      </c>
      <c r="P13" s="4" t="s">
        <v>72</v>
      </c>
    </row>
    <row r="14" spans="8:8" ht="48.0" customHeight="1">
      <c r="A14" s="4" t="s">
        <v>73</v>
      </c>
      <c r="B14" s="4" t="s">
        <v>74</v>
      </c>
      <c r="C14" s="4" t="s">
        <v>75</v>
      </c>
      <c r="D14" s="4" t="s">
        <v>76</v>
      </c>
      <c r="E14" s="4" t="s">
        <v>77</v>
      </c>
      <c r="F14" s="4" t="s">
        <v>78</v>
      </c>
      <c r="G14" s="5">
        <v>1.0</v>
      </c>
      <c r="H14" s="6">
        <v>4600.0</v>
      </c>
      <c r="I14" s="6">
        <v>10500.0</v>
      </c>
      <c r="J14" s="7">
        <f>G14*H14</f>
        <v>4600.0</v>
      </c>
      <c r="K14" s="7">
        <f>G14*I14</f>
        <v>10500.0</v>
      </c>
      <c r="L14" s="10">
        <v>0.0</v>
      </c>
      <c r="M14" s="10">
        <v>0.0</v>
      </c>
      <c r="N14" s="9" t="s">
        <v>51</v>
      </c>
      <c r="O14" s="9" t="s">
        <v>25</v>
      </c>
      <c r="P14" s="4" t="s">
        <v>79</v>
      </c>
    </row>
    <row r="15" spans="8:8" ht="48.0" customHeight="1">
      <c r="A15" s="4" t="s">
        <v>80</v>
      </c>
      <c r="B15" s="4" t="s">
        <v>74</v>
      </c>
      <c r="C15" s="4" t="s">
        <v>81</v>
      </c>
      <c r="D15" s="4" t="s">
        <v>82</v>
      </c>
      <c r="E15" s="4" t="s">
        <v>83</v>
      </c>
      <c r="F15" s="4" t="s">
        <v>84</v>
      </c>
      <c r="G15" s="5">
        <v>1.0</v>
      </c>
      <c r="H15" s="6">
        <v>900.0</v>
      </c>
      <c r="I15" s="6">
        <v>1300.0</v>
      </c>
      <c r="J15" s="7">
        <f>G15*H15</f>
        <v>900.0</v>
      </c>
      <c r="K15" s="7">
        <f>G15*I15</f>
        <v>1300.0</v>
      </c>
      <c r="L15" s="10">
        <v>15.0</v>
      </c>
      <c r="M15" s="10">
        <v>6.0</v>
      </c>
      <c r="N15" s="9" t="s">
        <v>85</v>
      </c>
      <c r="O15" s="9" t="s">
        <v>25</v>
      </c>
      <c r="P15" s="4" t="s">
        <v>86</v>
      </c>
    </row>
    <row r="16" spans="8:8" ht="48.0" customHeight="1">
      <c r="A16" s="4" t="s">
        <v>87</v>
      </c>
      <c r="B16" s="4" t="s">
        <v>74</v>
      </c>
      <c r="C16" s="4" t="s">
        <v>88</v>
      </c>
      <c r="D16" s="4" t="s">
        <v>89</v>
      </c>
      <c r="E16" s="4" t="s">
        <v>90</v>
      </c>
      <c r="F16" s="4" t="s">
        <v>91</v>
      </c>
      <c r="G16" s="5">
        <v>4.0</v>
      </c>
      <c r="H16" s="6">
        <v>110.0</v>
      </c>
      <c r="I16" s="6">
        <v>260.0</v>
      </c>
      <c r="J16" s="7">
        <f>G16*H16</f>
        <v>440.0</v>
      </c>
      <c r="K16" s="7">
        <f>G16*I16</f>
        <v>1040.0</v>
      </c>
      <c r="L16" s="10">
        <v>36.0</v>
      </c>
      <c r="M16" s="10">
        <v>54.0</v>
      </c>
      <c r="N16" s="9" t="s">
        <v>25</v>
      </c>
      <c r="O16" s="9" t="s">
        <v>25</v>
      </c>
      <c r="P16" s="4" t="s">
        <v>38</v>
      </c>
    </row>
    <row r="17" spans="8:8" ht="48.0" customHeight="1">
      <c r="A17" s="4" t="s">
        <v>92</v>
      </c>
      <c r="B17" s="4" t="s">
        <v>93</v>
      </c>
      <c r="C17" s="4" t="s">
        <v>94</v>
      </c>
      <c r="D17" s="4" t="s">
        <v>95</v>
      </c>
      <c r="E17" s="4" t="s">
        <v>96</v>
      </c>
      <c r="F17" s="4" t="s">
        <v>97</v>
      </c>
      <c r="G17" s="5">
        <v>1.0</v>
      </c>
      <c r="H17" s="6">
        <v>250.0</v>
      </c>
      <c r="I17" s="6">
        <v>600.0</v>
      </c>
      <c r="J17" s="7">
        <f>G17*H17</f>
        <v>250.0</v>
      </c>
      <c r="K17" s="7">
        <f>G17*I17</f>
        <v>600.0</v>
      </c>
      <c r="L17" s="10">
        <v>18.0</v>
      </c>
      <c r="M17" s="10">
        <v>15.0</v>
      </c>
      <c r="N17" s="9" t="s">
        <v>25</v>
      </c>
      <c r="O17" s="9" t="s">
        <v>25</v>
      </c>
      <c r="P17" s="4" t="s">
        <v>38</v>
      </c>
    </row>
    <row r="18" spans="8:8" ht="48.0" customHeight="1">
      <c r="A18" s="4" t="s">
        <v>98</v>
      </c>
      <c r="B18" s="4" t="s">
        <v>93</v>
      </c>
      <c r="C18" s="4" t="s">
        <v>99</v>
      </c>
      <c r="D18" s="4" t="s">
        <v>100</v>
      </c>
      <c r="E18" s="4" t="s">
        <v>101</v>
      </c>
      <c r="F18" s="4" t="s">
        <v>102</v>
      </c>
      <c r="G18" s="5">
        <v>1.0</v>
      </c>
      <c r="H18" s="6">
        <v>150.0</v>
      </c>
      <c r="I18" s="6">
        <v>1400.0</v>
      </c>
      <c r="J18" s="7">
        <f>G18*H18</f>
        <v>150.0</v>
      </c>
      <c r="K18" s="7">
        <f>G18*I18</f>
        <v>1400.0</v>
      </c>
      <c r="L18" s="10">
        <v>25.0</v>
      </c>
      <c r="M18" s="10">
        <v>60.0</v>
      </c>
      <c r="N18" s="9" t="s">
        <v>25</v>
      </c>
      <c r="O18" s="9" t="s">
        <v>25</v>
      </c>
      <c r="P18" s="4" t="s">
        <v>38</v>
      </c>
    </row>
    <row r="19" spans="8:8" ht="48.0" customHeight="1">
      <c r="A19" s="4" t="s">
        <v>103</v>
      </c>
      <c r="B19" s="4" t="s">
        <v>93</v>
      </c>
      <c r="C19" s="4" t="s">
        <v>104</v>
      </c>
      <c r="D19" s="4" t="s">
        <v>105</v>
      </c>
      <c r="E19" s="4" t="s">
        <v>106</v>
      </c>
      <c r="F19" s="4" t="s">
        <v>107</v>
      </c>
      <c r="G19" s="5">
        <v>1.0</v>
      </c>
      <c r="H19" s="6">
        <v>100.0</v>
      </c>
      <c r="I19" s="6">
        <v>350.0</v>
      </c>
      <c r="J19" s="7">
        <f>G19*H19</f>
        <v>100.0</v>
      </c>
      <c r="K19" s="7">
        <f>G19*I19</f>
        <v>350.0</v>
      </c>
      <c r="L19" s="10">
        <v>15.0</v>
      </c>
      <c r="M19" s="10">
        <v>18.0</v>
      </c>
      <c r="N19" s="9" t="s">
        <v>25</v>
      </c>
      <c r="O19" s="9" t="s">
        <v>25</v>
      </c>
      <c r="P19" s="4" t="s">
        <v>38</v>
      </c>
    </row>
    <row r="20" spans="8:8" ht="48.0" customHeight="1">
      <c r="A20" s="4" t="s">
        <v>108</v>
      </c>
      <c r="B20" s="4" t="s">
        <v>93</v>
      </c>
      <c r="C20" s="4" t="s">
        <v>109</v>
      </c>
      <c r="D20" s="4" t="s">
        <v>110</v>
      </c>
      <c r="E20" s="4" t="s">
        <v>111</v>
      </c>
      <c r="F20" s="4" t="s">
        <v>112</v>
      </c>
      <c r="G20" s="5">
        <v>1.0</v>
      </c>
      <c r="H20" s="6">
        <v>250.0</v>
      </c>
      <c r="I20" s="6">
        <v>600.0</v>
      </c>
      <c r="J20" s="7">
        <f>G20*H20</f>
        <v>250.0</v>
      </c>
      <c r="K20" s="7">
        <f>G20*I20</f>
        <v>600.0</v>
      </c>
      <c r="L20" s="10">
        <v>20.0</v>
      </c>
      <c r="M20" s="10">
        <v>22.0</v>
      </c>
      <c r="N20" s="9" t="s">
        <v>58</v>
      </c>
      <c r="O20" s="9" t="s">
        <v>25</v>
      </c>
      <c r="P20" s="4" t="s">
        <v>38</v>
      </c>
    </row>
    <row r="21" spans="8:8" ht="48.0" customHeight="1">
      <c r="A21" s="4" t="s">
        <v>113</v>
      </c>
      <c r="B21" s="4" t="s">
        <v>93</v>
      </c>
      <c r="C21" s="4" t="s">
        <v>114</v>
      </c>
      <c r="D21" s="4" t="s">
        <v>115</v>
      </c>
      <c r="E21" s="4" t="s">
        <v>116</v>
      </c>
      <c r="F21" s="4" t="s">
        <v>117</v>
      </c>
      <c r="G21" s="5">
        <v>1.0</v>
      </c>
      <c r="H21" s="6">
        <v>150.0</v>
      </c>
      <c r="I21" s="6">
        <v>300.0</v>
      </c>
      <c r="J21" s="7">
        <f>G21*H21</f>
        <v>150.0</v>
      </c>
      <c r="K21" s="7">
        <f>G21*I21</f>
        <v>300.0</v>
      </c>
      <c r="L21" s="10">
        <v>15.0</v>
      </c>
      <c r="M21" s="10">
        <v>15.0</v>
      </c>
      <c r="N21" s="9" t="s">
        <v>25</v>
      </c>
      <c r="O21" s="9" t="s">
        <v>25</v>
      </c>
      <c r="P21" s="4" t="s">
        <v>38</v>
      </c>
    </row>
    <row r="22" spans="8:8" ht="48.0" customHeight="1">
      <c r="A22" s="4" t="s">
        <v>118</v>
      </c>
      <c r="B22" s="4" t="s">
        <v>93</v>
      </c>
      <c r="C22" s="4" t="s">
        <v>119</v>
      </c>
      <c r="D22" s="4" t="s">
        <v>120</v>
      </c>
      <c r="E22" s="4" t="s">
        <v>121</v>
      </c>
      <c r="F22" s="4" t="s">
        <v>122</v>
      </c>
      <c r="G22" s="5">
        <v>1.0</v>
      </c>
      <c r="H22" s="6">
        <v>350.0</v>
      </c>
      <c r="I22" s="6">
        <v>900.0</v>
      </c>
      <c r="J22" s="7">
        <f>G22*H22</f>
        <v>350.0</v>
      </c>
      <c r="K22" s="7">
        <f>G22*I22</f>
        <v>900.0</v>
      </c>
      <c r="L22" s="10">
        <v>40.0</v>
      </c>
      <c r="M22" s="10">
        <v>35.0</v>
      </c>
      <c r="N22" s="9" t="s">
        <v>25</v>
      </c>
      <c r="O22" s="9" t="s">
        <v>25</v>
      </c>
      <c r="P22" s="4" t="s">
        <v>123</v>
      </c>
    </row>
    <row r="23" spans="8:8" ht="48.0" customHeight="1">
      <c r="A23" s="4" t="s">
        <v>124</v>
      </c>
      <c r="B23" s="4" t="s">
        <v>93</v>
      </c>
      <c r="C23" s="4" t="s">
        <v>125</v>
      </c>
      <c r="D23" s="4" t="s">
        <v>126</v>
      </c>
      <c r="E23" s="4" t="s">
        <v>127</v>
      </c>
      <c r="F23" s="4" t="s">
        <v>128</v>
      </c>
      <c r="G23" s="5">
        <v>1.0</v>
      </c>
      <c r="H23" s="6">
        <v>100.0</v>
      </c>
      <c r="I23" s="6">
        <v>250.0</v>
      </c>
      <c r="J23" s="7">
        <f>G23*H23</f>
        <v>100.0</v>
      </c>
      <c r="K23" s="7">
        <f>G23*I23</f>
        <v>250.0</v>
      </c>
      <c r="L23" s="10">
        <v>8.0</v>
      </c>
      <c r="M23" s="10">
        <v>8.0</v>
      </c>
      <c r="N23" s="9" t="s">
        <v>58</v>
      </c>
      <c r="O23" s="9" t="s">
        <v>58</v>
      </c>
      <c r="P23" s="4" t="s">
        <v>38</v>
      </c>
    </row>
    <row r="24" spans="8:8" ht="48.0" customHeight="1">
      <c r="A24" s="4" t="s">
        <v>129</v>
      </c>
      <c r="B24" s="4" t="s">
        <v>130</v>
      </c>
      <c r="C24" s="4" t="s">
        <v>131</v>
      </c>
      <c r="D24" s="4" t="s">
        <v>132</v>
      </c>
      <c r="E24" s="4" t="s">
        <v>133</v>
      </c>
      <c r="F24" s="4" t="s">
        <v>134</v>
      </c>
      <c r="G24" s="5">
        <v>1.0</v>
      </c>
      <c r="H24" s="6">
        <v>1800.0</v>
      </c>
      <c r="I24" s="6">
        <v>4800.0</v>
      </c>
      <c r="J24" s="7">
        <f>G24*H24</f>
        <v>1800.0</v>
      </c>
      <c r="K24" s="7">
        <f>G24*I24</f>
        <v>4800.0</v>
      </c>
      <c r="L24" s="10">
        <v>0.0</v>
      </c>
      <c r="M24" s="10">
        <v>0.0</v>
      </c>
      <c r="N24" s="9" t="s">
        <v>25</v>
      </c>
      <c r="O24" s="9" t="s">
        <v>25</v>
      </c>
      <c r="P24" s="4" t="s">
        <v>135</v>
      </c>
    </row>
    <row r="25" spans="8:8" ht="48.0" customHeight="1">
      <c r="A25" s="4" t="s">
        <v>136</v>
      </c>
      <c r="B25" s="4" t="s">
        <v>130</v>
      </c>
      <c r="C25" s="4" t="s">
        <v>137</v>
      </c>
      <c r="D25" s="4" t="s">
        <v>138</v>
      </c>
      <c r="E25" s="4" t="s">
        <v>139</v>
      </c>
      <c r="F25" s="4" t="s">
        <v>140</v>
      </c>
      <c r="G25" s="5">
        <v>1.0</v>
      </c>
      <c r="H25" s="6">
        <v>800.0</v>
      </c>
      <c r="I25" s="6">
        <v>1100.0</v>
      </c>
      <c r="J25" s="7">
        <f>G25*H25</f>
        <v>800.0</v>
      </c>
      <c r="K25" s="7">
        <f>G25*I25</f>
        <v>1100.0</v>
      </c>
      <c r="L25" s="10">
        <v>0.0</v>
      </c>
      <c r="M25" s="10">
        <v>0.0</v>
      </c>
      <c r="N25" s="9" t="s">
        <v>25</v>
      </c>
      <c r="O25" s="9" t="s">
        <v>25</v>
      </c>
      <c r="P25" s="4" t="s">
        <v>38</v>
      </c>
    </row>
    <row r="26" spans="8:8" ht="48.0" customHeight="1">
      <c r="A26" s="4" t="s">
        <v>141</v>
      </c>
      <c r="B26" s="4" t="s">
        <v>130</v>
      </c>
      <c r="C26" s="4" t="s">
        <v>142</v>
      </c>
      <c r="D26" s="4" t="s">
        <v>143</v>
      </c>
      <c r="E26" s="4" t="s">
        <v>144</v>
      </c>
      <c r="F26" s="4" t="s">
        <v>145</v>
      </c>
      <c r="G26" s="5">
        <v>1.0</v>
      </c>
      <c r="H26" s="6">
        <v>400.0</v>
      </c>
      <c r="I26" s="6">
        <v>700.0</v>
      </c>
      <c r="J26" s="7">
        <f>G26*H26</f>
        <v>400.0</v>
      </c>
      <c r="K26" s="7">
        <f>G26*I26</f>
        <v>700.0</v>
      </c>
      <c r="L26" s="10">
        <v>0.0</v>
      </c>
      <c r="M26" s="10">
        <v>0.0</v>
      </c>
      <c r="N26" s="9" t="s">
        <v>58</v>
      </c>
      <c r="O26" s="9" t="s">
        <v>25</v>
      </c>
      <c r="P26" s="4" t="s">
        <v>38</v>
      </c>
    </row>
    <row r="27" spans="8:8" ht="48.0" customHeight="1">
      <c r="A27" s="4" t="s">
        <v>146</v>
      </c>
      <c r="B27" s="4" t="s">
        <v>130</v>
      </c>
      <c r="C27" s="4" t="s">
        <v>147</v>
      </c>
      <c r="D27" s="4" t="s">
        <v>148</v>
      </c>
      <c r="E27" s="4" t="s">
        <v>148</v>
      </c>
      <c r="F27" s="4" t="s">
        <v>149</v>
      </c>
      <c r="G27" s="5">
        <v>1.0</v>
      </c>
      <c r="H27" s="6">
        <v>400.0</v>
      </c>
      <c r="I27" s="6">
        <v>700.0</v>
      </c>
      <c r="J27" s="7">
        <f>G27*H27</f>
        <v>400.0</v>
      </c>
      <c r="K27" s="7">
        <f>G27*I27</f>
        <v>700.0</v>
      </c>
      <c r="L27" s="10">
        <v>0.0</v>
      </c>
      <c r="M27" s="10">
        <v>0.0</v>
      </c>
      <c r="N27" s="9" t="s">
        <v>58</v>
      </c>
      <c r="O27" s="9" t="s">
        <v>25</v>
      </c>
      <c r="P27" s="4" t="s">
        <v>38</v>
      </c>
    </row>
    <row r="29" spans="8:8" ht="15.0">
      <c r="C29" s="11" t="s">
        <v>150</v>
      </c>
      <c r="D29" s="11"/>
      <c r="E29" s="11"/>
      <c r="F29" s="11"/>
      <c r="G29" s="11"/>
      <c r="H29" s="11"/>
      <c r="I29" s="11"/>
      <c r="J29" s="12">
        <f>SUM(J6:J27)-SUMIF($B$6:$B$27,"Ground support",J6:J27)</f>
        <v>11017.0</v>
      </c>
      <c r="K29" s="12">
        <f>SUM(K6:K27)-SUMIF($B$6:$B$27,"Ground support",K6:K27)</f>
        <v>26640.0</v>
      </c>
      <c r="L29" s="13">
        <f>SUM(L6:L27)</f>
        <v>827.0</v>
      </c>
      <c r="M29" s="13">
        <f>SUM(M6:M27)</f>
        <v>802.0</v>
      </c>
      <c r="N29" s="2" t="s">
        <v>151</v>
      </c>
    </row>
    <row r="30" spans="8:8" ht="15.0">
      <c r="C30" s="11" t="s">
        <v>152</v>
      </c>
      <c r="D30" s="11"/>
      <c r="E30" s="11"/>
      <c r="F30" s="11"/>
      <c r="G30" s="11"/>
      <c r="H30" s="11"/>
      <c r="I30" s="11"/>
      <c r="J30" s="12">
        <f>SUMIF($B$6:$B$27,"Ground support",J6:J27)</f>
        <v>3400.0</v>
      </c>
      <c r="K30" s="12">
        <f>SUMIF($B$6:$B$27,"Ground support",K6:K27)</f>
        <v>7300.0</v>
      </c>
      <c r="L30" s="13"/>
      <c r="M30" s="13"/>
    </row>
    <row r="31" spans="8:8" ht="15.0">
      <c r="C31" s="11" t="s">
        <v>153</v>
      </c>
      <c r="D31" s="11"/>
      <c r="E31" s="11"/>
      <c r="F31" s="11"/>
      <c r="G31" s="11"/>
      <c r="H31" s="11"/>
      <c r="I31" s="11"/>
      <c r="J31" s="12">
        <f>J29+J30</f>
        <v>14417.0</v>
      </c>
      <c r="K31" s="12">
        <f>K29+K30</f>
        <v>33940.0</v>
      </c>
      <c r="L31" s="13"/>
      <c r="M31" s="13"/>
    </row>
  </sheetData>
  <hyperlinks>
    <hyperlink ref="N6" r:id="rId1"/>
    <hyperlink ref="O6" r:id="rId2"/>
    <hyperlink ref="N7" r:id="rId3"/>
    <hyperlink ref="O7" r:id="rId4"/>
    <hyperlink ref="N8" r:id="rId5"/>
    <hyperlink ref="O8" r:id="rId6"/>
    <hyperlink ref="N9" r:id="rId7"/>
    <hyperlink ref="O9" r:id="rId8"/>
    <hyperlink ref="N10" r:id="rId9"/>
    <hyperlink ref="O10" r:id="rId10"/>
    <hyperlink ref="N11" r:id="rId11"/>
    <hyperlink ref="O11" r:id="rId12"/>
    <hyperlink ref="N12" r:id="rId13"/>
    <hyperlink ref="O12" r:id="rId14"/>
    <hyperlink ref="N13" r:id="rId15"/>
    <hyperlink ref="O13" r:id="rId16"/>
    <hyperlink ref="N14" r:id="rId17"/>
    <hyperlink ref="O14" r:id="rId18"/>
    <hyperlink ref="N15" r:id="rId19"/>
    <hyperlink ref="O15" r:id="rId20"/>
    <hyperlink ref="N16" r:id="rId21"/>
    <hyperlink ref="O16" r:id="rId22"/>
    <hyperlink ref="N17" r:id="rId23"/>
    <hyperlink ref="O17" r:id="rId24"/>
    <hyperlink ref="N18" r:id="rId25"/>
    <hyperlink ref="O18" r:id="rId26"/>
    <hyperlink ref="N19" r:id="rId27"/>
    <hyperlink ref="O19" r:id="rId28"/>
    <hyperlink ref="N20" r:id="rId29"/>
    <hyperlink ref="O20" r:id="rId30"/>
    <hyperlink ref="N21" r:id="rId31"/>
    <hyperlink ref="O21" r:id="rId32"/>
    <hyperlink ref="N22" r:id="rId33"/>
    <hyperlink ref="O22" r:id="rId34"/>
    <hyperlink ref="N23" r:id="rId35"/>
    <hyperlink ref="O23" r:id="rId36"/>
    <hyperlink ref="N24" r:id="rId37"/>
    <hyperlink ref="O24" r:id="rId38"/>
    <hyperlink ref="N25" r:id="rId39"/>
    <hyperlink ref="O25" r:id="rId40"/>
    <hyperlink ref="N26" r:id="rId41"/>
    <hyperlink ref="O26" r:id="rId42"/>
    <hyperlink ref="N27" r:id="rId43"/>
    <hyperlink ref="O27" r:id="rId44"/>
  </hyperlinks>
  <pageMargins left="0.75" right="0.75" top="1.0" bottom="1.0" header="0.511811023622047" footer="0.511811023622047"/>
  <pageSetup paperSize="9"/>
</worksheet>
</file>

<file path=xl/worksheets/sheet2.xml><?xml version="1.0" encoding="utf-8"?>
<worksheet xmlns:r="http://schemas.openxmlformats.org/officeDocument/2006/relationships" xmlns="http://schemas.openxmlformats.org/spreadsheetml/2006/main">
  <dimension ref="A1:E49"/>
  <sheetViews>
    <sheetView tabSelected="1" workbookViewId="0">
      <selection activeCell="A1" sqref="A1"/>
    </sheetView>
  </sheetViews>
  <sheetFormatPr defaultRowHeight="15.0" zeroHeight="1"/>
  <cols>
    <col min="1" max="1" customWidth="1" width="60.0" style="0"/>
    <col min="2" max="2" customWidth="1" width="22.0" style="0"/>
    <col min="3" max="3" customWidth="1" width="60.0" style="0"/>
    <col min="4" max="4" customWidth="1" width="12.0" style="0"/>
  </cols>
  <sheetData>
    <row r="1" spans="8:8" ht="15.0">
      <c r="A1" s="1" t="s">
        <v>154</v>
      </c>
    </row>
    <row r="3" spans="8:8" ht="15.0">
      <c r="A3" s="14" t="s">
        <v>4</v>
      </c>
      <c r="B3" s="14" t="s">
        <v>155</v>
      </c>
      <c r="C3" s="14" t="s">
        <v>156</v>
      </c>
      <c r="D3" s="15"/>
    </row>
    <row r="4" spans="8:8" ht="15.0">
      <c r="A4" s="15" t="s">
        <v>20</v>
      </c>
      <c r="B4" s="16">
        <f>SUMIF(BOM!$B$6:$B$27,A4,BOM!$J$6:$J$27)</f>
        <v>1290.0</v>
      </c>
      <c r="C4" s="16">
        <f>SUMIF(BOM!$B$6:$B$27,A4,BOM!$K$6:$K$27)</f>
        <v>2900.0</v>
      </c>
      <c r="D4" s="15"/>
    </row>
    <row r="5" spans="8:8" ht="15.0">
      <c r="A5" s="15" t="s">
        <v>46</v>
      </c>
      <c r="B5" s="16">
        <f>SUMIF(BOM!$B$6:$B$27,A5,BOM!$J$6:$J$27)</f>
        <v>2437.0</v>
      </c>
      <c r="C5" s="16">
        <f>SUMIF(BOM!$B$6:$B$27,A5,BOM!$K$6:$K$27)</f>
        <v>6500.0</v>
      </c>
      <c r="D5" s="15"/>
    </row>
    <row r="6" spans="8:8" ht="15.0">
      <c r="A6" s="15" t="s">
        <v>74</v>
      </c>
      <c r="B6" s="16">
        <f>SUMIF(BOM!$B$6:$B$27,A6,BOM!$J$6:$J$27)</f>
        <v>5940.0</v>
      </c>
      <c r="C6" s="16">
        <f>SUMIF(BOM!$B$6:$B$27,A6,BOM!$K$6:$K$27)</f>
        <v>12840.0</v>
      </c>
      <c r="D6" s="15"/>
    </row>
    <row r="7" spans="8:8" ht="15.0">
      <c r="A7" s="15" t="s">
        <v>93</v>
      </c>
      <c r="B7" s="16">
        <f>SUMIF(BOM!$B$6:$B$27,A7,BOM!$J$6:$J$27)</f>
        <v>1350.0</v>
      </c>
      <c r="C7" s="16">
        <f>SUMIF(BOM!$B$6:$B$27,A7,BOM!$K$6:$K$27)</f>
        <v>4400.0</v>
      </c>
      <c r="D7" s="15"/>
    </row>
    <row r="8" spans="8:8" ht="15.0">
      <c r="A8" s="15" t="s">
        <v>130</v>
      </c>
      <c r="B8" s="16">
        <f>SUMIF(BOM!$B$6:$B$27,A8,BOM!$J$6:$J$27)</f>
        <v>3400.0</v>
      </c>
      <c r="C8" s="16">
        <f>SUMIF(BOM!$B$6:$B$27,A8,BOM!$K$6:$K$27)</f>
        <v>7300.0</v>
      </c>
      <c r="D8" s="15"/>
    </row>
    <row r="9" spans="8:8" ht="15.0">
      <c r="A9" s="11" t="s">
        <v>157</v>
      </c>
      <c r="B9" s="12">
        <f>SUM(B4:B7)</f>
        <v>11017.0</v>
      </c>
      <c r="C9" s="12">
        <f>SUM(C4:C7)</f>
        <v>26640.0</v>
      </c>
      <c r="D9" s="15"/>
    </row>
    <row r="10" spans="8:8" ht="15.0">
      <c r="A10" s="11" t="s">
        <v>158</v>
      </c>
      <c r="B10" s="12">
        <f>B8</f>
        <v>3400.0</v>
      </c>
      <c r="C10" s="12">
        <f>C8</f>
        <v>7300.0</v>
      </c>
      <c r="D10" s="15"/>
    </row>
    <row r="11" spans="8:8" ht="15.0">
      <c r="A11" s="11" t="s">
        <v>159</v>
      </c>
      <c r="B11" s="12">
        <f>B9+B10</f>
        <v>14417.0</v>
      </c>
      <c r="C11" s="12">
        <f>C9+C10</f>
        <v>33940.0</v>
      </c>
      <c r="D11" s="15"/>
    </row>
    <row r="12" spans="8:8" ht="15.0">
      <c r="A12" s="11" t="s">
        <v>160</v>
      </c>
      <c r="B12" s="12">
        <f>B11*0.1</f>
        <v>1441.7</v>
      </c>
      <c r="C12" s="12">
        <f>C11*0.1</f>
        <v>3394.0</v>
      </c>
      <c r="D12" s="15"/>
    </row>
    <row r="13" spans="8:8" ht="15.0">
      <c r="A13" s="11" t="s">
        <v>161</v>
      </c>
      <c r="B13" s="12">
        <f>B11+B12</f>
        <v>15858.7</v>
      </c>
      <c r="C13" s="12">
        <f>C11+C12</f>
        <v>37334.0</v>
      </c>
      <c r="D13" s="15"/>
    </row>
    <row r="14" spans="8:8" ht="15.0">
      <c r="A14" s="15"/>
      <c r="B14" s="15"/>
      <c r="C14" s="15"/>
      <c r="D14" s="15"/>
    </row>
    <row r="15" spans="8:8" ht="15.0">
      <c r="A15" s="17" t="s">
        <v>162</v>
      </c>
      <c r="B15" s="18"/>
      <c r="C15" s="18"/>
      <c r="D15" s="15"/>
    </row>
    <row r="16" spans="8:8" ht="15.0">
      <c r="A16" s="15" t="s">
        <v>163</v>
      </c>
      <c r="B16" s="19">
        <f>Calcs!B13</f>
        <v>868.35</v>
      </c>
      <c r="C16" s="19">
        <f>Calcs!C13</f>
        <v>842.1</v>
      </c>
      <c r="D16" s="15"/>
    </row>
    <row r="17" spans="8:8" ht="15.0">
      <c r="A17" s="15" t="s">
        <v>164</v>
      </c>
      <c r="B17" s="20">
        <f>Calcs!B16</f>
        <v>35.882231404958674</v>
      </c>
      <c r="C17" s="20">
        <f>Calcs!C16</f>
        <v>34.79752066115702</v>
      </c>
      <c r="D17" s="15"/>
    </row>
    <row r="18" spans="8:8" ht="15.0">
      <c r="A18" s="15" t="s">
        <v>165</v>
      </c>
      <c r="B18" s="21">
        <f>Calcs!B31</f>
        <v>0.8061265618702136</v>
      </c>
      <c r="C18" s="21">
        <f>Calcs!C31</f>
        <v>1.0093813086331789</v>
      </c>
      <c r="D18" s="15"/>
    </row>
    <row r="19" spans="8:8" ht="15.0">
      <c r="A19" s="15" t="s">
        <v>166</v>
      </c>
      <c r="B19" s="20">
        <f>Calcs!B19</f>
        <v>7.228111376794503</v>
      </c>
      <c r="C19" s="20">
        <f>Calcs!C19</f>
        <v>7.118021005389432</v>
      </c>
      <c r="D19" s="15"/>
    </row>
    <row r="20" spans="8:8" ht="15.0">
      <c r="A20" s="15" t="s">
        <v>167</v>
      </c>
      <c r="B20" s="20">
        <f>Calcs!B53</f>
        <v>1.8320247405112173</v>
      </c>
      <c r="C20" s="20">
        <f>Calcs!C53</f>
        <v>2.5975848607508585</v>
      </c>
      <c r="D20" s="15"/>
    </row>
    <row r="21" spans="8:8" ht="15.0">
      <c r="A21" s="15" t="s">
        <v>168</v>
      </c>
      <c r="B21" s="20">
        <f>Calcs!B49</f>
        <v>15.085714285714287</v>
      </c>
      <c r="C21" s="20">
        <f>Calcs!C49</f>
        <v>15.085714285714287</v>
      </c>
      <c r="D21" s="15"/>
    </row>
    <row r="22" spans="8:8" ht="15.0">
      <c r="A22" s="15" t="s">
        <v>169</v>
      </c>
      <c r="B22" s="20">
        <f>Calcs!B35</f>
        <v>2.142857142857143</v>
      </c>
      <c r="C22" s="20">
        <f>Calcs!C35</f>
        <v>2.857142857142857</v>
      </c>
      <c r="D22" s="15"/>
    </row>
    <row r="23" spans="8:8" ht="15.0">
      <c r="A23" s="15" t="s">
        <v>170</v>
      </c>
      <c r="B23" s="20">
        <f>Calcs!B65</f>
        <v>4.265778170250423</v>
      </c>
      <c r="C23" s="20">
        <f>Calcs!C65</f>
        <v>7.12760628162802</v>
      </c>
      <c r="D23" s="15"/>
    </row>
    <row r="24" spans="8:8" ht="15.0">
      <c r="A24" s="15" t="s">
        <v>171</v>
      </c>
      <c r="B24" s="22" t="str">
        <f>Calcs!B55</f>
        <v>PASS</v>
      </c>
      <c r="C24" s="22" t="str">
        <f>Calcs!C55</f>
        <v>PASS</v>
      </c>
      <c r="D24" s="15"/>
    </row>
    <row r="25" spans="8:8" ht="15.0">
      <c r="A25" s="15" t="s">
        <v>172</v>
      </c>
      <c r="B25" s="15"/>
      <c r="C25" s="16">
        <f>C11-B11</f>
        <v>19523.0</v>
      </c>
      <c r="D25" s="15"/>
    </row>
    <row r="26" spans="8:8" ht="15.0">
      <c r="A26" s="15" t="s">
        <v>173</v>
      </c>
      <c r="B26" s="15"/>
      <c r="C26" s="23">
        <f>(C18-B18)/(C25/1000)</f>
        <v>0.010411040657837694</v>
      </c>
      <c r="D26" s="15"/>
    </row>
    <row r="27" spans="8:8" ht="15.0">
      <c r="A27" s="15"/>
      <c r="B27" s="15"/>
      <c r="C27" s="15"/>
      <c r="D27" s="15"/>
    </row>
    <row r="28" spans="8:8" ht="15.0">
      <c r="A28" s="17" t="s">
        <v>174</v>
      </c>
      <c r="B28" s="18"/>
      <c r="C28" s="18"/>
      <c r="D28" s="15"/>
    </row>
    <row r="29" spans="8:8" ht="15.0">
      <c r="A29" s="14" t="s">
        <v>175</v>
      </c>
      <c r="B29" s="14" t="s">
        <v>176</v>
      </c>
      <c r="C29" s="14" t="s">
        <v>177</v>
      </c>
      <c r="D29" s="15"/>
    </row>
    <row r="30" spans="8:8" ht="42.0" customHeight="1">
      <c r="A30" s="24" t="s">
        <v>178</v>
      </c>
      <c r="B30" s="16">
        <f>BOM!J14</f>
        <v>4600.0</v>
      </c>
      <c r="C30" s="24" t="s">
        <v>179</v>
      </c>
      <c r="D30" s="15"/>
    </row>
    <row r="31" spans="8:8" ht="42.0" customHeight="1">
      <c r="A31" s="24" t="s">
        <v>180</v>
      </c>
      <c r="B31" s="16">
        <f>BOM!J24+BOM!J25+BOM!J26</f>
        <v>3000.0</v>
      </c>
      <c r="C31" s="24" t="s">
        <v>181</v>
      </c>
      <c r="D31" s="15"/>
    </row>
    <row r="32" spans="8:8" ht="42.0" customHeight="1">
      <c r="A32" s="24" t="s">
        <v>182</v>
      </c>
      <c r="B32" s="16">
        <f>BOM!J9</f>
        <v>350.0</v>
      </c>
      <c r="C32" s="24" t="s">
        <v>183</v>
      </c>
      <c r="D32" s="15"/>
    </row>
    <row r="33" spans="8:8" ht="42.0" customHeight="1">
      <c r="A33" s="24" t="s">
        <v>184</v>
      </c>
      <c r="B33" s="16">
        <f>BOM!J18+BOM!J21</f>
        <v>300.0</v>
      </c>
      <c r="C33" s="24" t="s">
        <v>185</v>
      </c>
      <c r="D33" s="15"/>
    </row>
    <row r="34" spans="8:8" ht="42.0" customHeight="1">
      <c r="A34" s="24" t="s">
        <v>186</v>
      </c>
      <c r="B34" s="16">
        <f>BOM!K6-BOM!J6</f>
        <v>450.0</v>
      </c>
      <c r="C34" s="24" t="s">
        <v>187</v>
      </c>
      <c r="D34" s="15"/>
    </row>
    <row r="35" spans="8:8" ht="42.0" customHeight="1">
      <c r="A35" s="24" t="s">
        <v>188</v>
      </c>
      <c r="B35" s="16">
        <f>BOM!K16-BOM!J16</f>
        <v>600.0</v>
      </c>
      <c r="C35" s="24" t="s">
        <v>189</v>
      </c>
      <c r="D35" s="15"/>
    </row>
    <row r="36" spans="8:8" ht="15.0">
      <c r="A36" s="11" t="s">
        <v>190</v>
      </c>
      <c r="B36" s="12">
        <f>B11-SUM(B30:B33)</f>
        <v>6167.0</v>
      </c>
      <c r="C36" s="25"/>
      <c r="D36" s="15"/>
    </row>
    <row r="37" spans="8:8" ht="31.5" customHeight="1">
      <c r="A37" s="26" t="s">
        <v>191</v>
      </c>
      <c r="B37" s="26"/>
      <c r="C37" s="26"/>
      <c r="D37" s="15"/>
    </row>
    <row r="38" spans="8:8" ht="15.0">
      <c r="A38" s="15"/>
      <c r="B38" s="15"/>
      <c r="C38" s="15"/>
      <c r="D38" s="15"/>
    </row>
    <row r="39" spans="8:8" ht="15.0">
      <c r="A39" s="17" t="s">
        <v>192</v>
      </c>
      <c r="B39" s="18"/>
      <c r="C39" s="18"/>
      <c r="D39" s="15"/>
    </row>
    <row r="40" spans="8:8" ht="15.0">
      <c r="A40" s="14" t="s">
        <v>193</v>
      </c>
      <c r="B40" s="14" t="s">
        <v>194</v>
      </c>
      <c r="C40" s="14" t="s">
        <v>195</v>
      </c>
      <c r="D40" s="14" t="s">
        <v>196</v>
      </c>
    </row>
    <row r="41" spans="8:8" ht="15.0">
      <c r="A41" s="15" t="s">
        <v>197</v>
      </c>
      <c r="B41" s="27">
        <v>5.0</v>
      </c>
      <c r="C41" s="27">
        <v>2.0</v>
      </c>
      <c r="D41" s="28">
        <v>0.3</v>
      </c>
    </row>
    <row r="42" spans="8:8" ht="15.0">
      <c r="A42" s="15" t="s">
        <v>198</v>
      </c>
      <c r="B42" s="27">
        <v>5.0</v>
      </c>
      <c r="C42" s="27">
        <v>3.0</v>
      </c>
      <c r="D42" s="28">
        <v>0.2</v>
      </c>
    </row>
    <row r="43" spans="8:8" ht="15.0">
      <c r="A43" s="15" t="s">
        <v>199</v>
      </c>
      <c r="B43" s="27">
        <v>3.0</v>
      </c>
      <c r="C43" s="27">
        <v>4.0</v>
      </c>
      <c r="D43" s="28">
        <v>0.2</v>
      </c>
    </row>
    <row r="44" spans="8:8" ht="15.0">
      <c r="A44" s="15" t="s">
        <v>200</v>
      </c>
      <c r="B44" s="27">
        <v>5.0</v>
      </c>
      <c r="C44" s="27">
        <v>3.0</v>
      </c>
      <c r="D44" s="28">
        <v>0.15</v>
      </c>
    </row>
    <row r="45" spans="8:8" ht="15.0">
      <c r="A45" s="15" t="s">
        <v>201</v>
      </c>
      <c r="B45" s="27">
        <v>3.0</v>
      </c>
      <c r="C45" s="27">
        <v>4.0</v>
      </c>
      <c r="D45" s="28">
        <v>0.15</v>
      </c>
    </row>
    <row r="46" spans="8:8" ht="15.0">
      <c r="A46" s="11" t="s">
        <v>202</v>
      </c>
      <c r="B46" s="29">
        <f>SUMPRODUCT($D$41:$D$45,B41:B45)</f>
        <v>4.3</v>
      </c>
      <c r="C46" s="29">
        <f>SUMPRODUCT($D$41:$D$45,C41:C45)</f>
        <v>3.0500000000000003</v>
      </c>
      <c r="D46" s="30">
        <f>SUM(D41:D45)</f>
        <v>1.0</v>
      </c>
    </row>
    <row r="47" spans="8:8" ht="15.0">
      <c r="A47" s="31" t="s">
        <v>203</v>
      </c>
      <c r="B47" s="31" t="str">
        <f>IF(B46&gt;=C46,"Budget","Performance")</f>
        <v>Budget</v>
      </c>
      <c r="C47" s="15"/>
      <c r="D47" s="15"/>
    </row>
    <row r="48" spans="8:8" ht="15.0">
      <c r="A48" s="15"/>
      <c r="B48" s="15"/>
      <c r="C48" s="15"/>
      <c r="D48" s="15"/>
    </row>
    <row r="49" spans="8:8" ht="129.75" customHeight="1">
      <c r="A49" s="26" t="s">
        <v>204</v>
      </c>
      <c r="B49" s="26"/>
      <c r="C49" s="26"/>
      <c r="D49" s="26"/>
    </row>
  </sheetData>
  <mergeCells count="2">
    <mergeCell ref="A37:C37"/>
    <mergeCell ref="A49:D49"/>
  </mergeCells>
  <pageMargins left="0.75" right="0.75" top="1.0" bottom="1.0" header="0.511811023622047" footer="0.511811023622047"/>
  <pageSetup paperSize="9"/>
</worksheet>
</file>

<file path=xl/worksheets/sheet3.xml><?xml version="1.0" encoding="utf-8"?>
<worksheet xmlns:r="http://schemas.openxmlformats.org/officeDocument/2006/relationships" xmlns="http://schemas.openxmlformats.org/spreadsheetml/2006/main">
  <dimension ref="A1:G22"/>
  <sheetViews>
    <sheetView workbookViewId="0">
      <selection activeCell="A1" sqref="A1"/>
    </sheetView>
  </sheetViews>
  <sheetFormatPr defaultRowHeight="15.0" zeroHeight="1"/>
  <cols>
    <col min="1" max="1" customWidth="1" width="34.0" style="0"/>
    <col min="2" max="2" customWidth="1" width="110.0" style="0"/>
    <col min="3" max="6" customWidth="1" width="18.0" style="0"/>
  </cols>
  <sheetData>
    <row r="1" spans="8:8" ht="15.0">
      <c r="A1" s="1" t="s">
        <v>205</v>
      </c>
    </row>
    <row r="3" spans="8:8" ht="15.0">
      <c r="A3" s="14" t="s">
        <v>206</v>
      </c>
      <c r="B3" s="14" t="s">
        <v>207</v>
      </c>
      <c r="C3" s="15"/>
      <c r="D3" s="15"/>
      <c r="E3" s="15"/>
      <c r="F3" s="15"/>
    </row>
    <row r="4" spans="8:8" ht="60.0" customHeight="1">
      <c r="A4" s="32" t="s">
        <v>208</v>
      </c>
      <c r="B4" s="24" t="s">
        <v>209</v>
      </c>
      <c r="C4" s="15"/>
      <c r="D4" s="15"/>
      <c r="E4" s="15"/>
      <c r="F4" s="15"/>
    </row>
    <row r="5" spans="8:8" ht="130.5" customHeight="1">
      <c r="A5" s="32" t="s">
        <v>210</v>
      </c>
      <c r="B5" s="24" t="s">
        <v>211</v>
      </c>
      <c r="C5" s="15"/>
      <c r="D5" s="15"/>
      <c r="E5" s="15"/>
      <c r="F5" s="15"/>
    </row>
    <row r="6" spans="8:8" ht="72.0" customHeight="1">
      <c r="A6" s="32" t="s">
        <v>212</v>
      </c>
      <c r="B6" s="24" t="s">
        <v>213</v>
      </c>
      <c r="C6" s="15"/>
      <c r="D6" s="15"/>
      <c r="E6" s="15"/>
      <c r="F6" s="15"/>
    </row>
    <row r="7" spans="8:8" ht="87.0" customHeight="1">
      <c r="A7" s="32" t="s">
        <v>214</v>
      </c>
      <c r="B7" s="24" t="s">
        <v>215</v>
      </c>
      <c r="C7" s="15"/>
      <c r="D7" s="15"/>
      <c r="E7" s="15"/>
      <c r="F7" s="15"/>
    </row>
    <row r="8" spans="8:8" ht="72.0" customHeight="1">
      <c r="A8" s="32" t="s">
        <v>216</v>
      </c>
      <c r="B8" s="24" t="s">
        <v>217</v>
      </c>
      <c r="C8" s="15"/>
      <c r="D8" s="15"/>
      <c r="E8" s="15"/>
      <c r="F8" s="15"/>
    </row>
    <row r="9" spans="8:8" ht="87.0" customHeight="1">
      <c r="A9" s="32" t="s">
        <v>218</v>
      </c>
      <c r="B9" s="24" t="s">
        <v>219</v>
      </c>
      <c r="C9" s="15"/>
      <c r="D9" s="15"/>
      <c r="E9" s="15"/>
      <c r="F9" s="15"/>
    </row>
    <row r="10" spans="8:8" ht="144.75" customHeight="1">
      <c r="A10" s="32" t="s">
        <v>220</v>
      </c>
      <c r="B10" s="24" t="s">
        <v>221</v>
      </c>
      <c r="C10" s="15"/>
      <c r="D10" s="15"/>
      <c r="E10" s="15"/>
      <c r="F10" s="15"/>
    </row>
    <row r="11" spans="8:8" ht="15.0">
      <c r="A11" s="15"/>
      <c r="B11" s="15"/>
      <c r="C11" s="15"/>
      <c r="D11" s="15"/>
      <c r="E11" s="15"/>
      <c r="F11" s="15"/>
    </row>
    <row r="12" spans="8:8" ht="15.0">
      <c r="A12" s="31" t="s">
        <v>222</v>
      </c>
      <c r="B12" s="15"/>
      <c r="C12" s="15"/>
      <c r="D12" s="15"/>
      <c r="E12" s="15"/>
      <c r="F12" s="15"/>
    </row>
    <row r="13" spans="8:8" ht="15.0">
      <c r="A13" s="14" t="s">
        <v>223</v>
      </c>
      <c r="B13" s="14" t="s">
        <v>224</v>
      </c>
      <c r="C13" s="14" t="s">
        <v>225</v>
      </c>
      <c r="D13" s="14" t="s">
        <v>197</v>
      </c>
      <c r="E13" s="14" t="s">
        <v>226</v>
      </c>
      <c r="F13" s="14" t="s">
        <v>202</v>
      </c>
    </row>
    <row r="14" spans="8:8" ht="15.0">
      <c r="A14" s="31" t="s">
        <v>196</v>
      </c>
      <c r="B14" s="28">
        <v>0.3</v>
      </c>
      <c r="C14" s="28">
        <v>0.2</v>
      </c>
      <c r="D14" s="28">
        <v>0.25</v>
      </c>
      <c r="E14" s="28">
        <v>0.25</v>
      </c>
      <c r="F14" s="15"/>
    </row>
    <row r="15" spans="8:8" ht="15.0">
      <c r="A15" s="15" t="s">
        <v>227</v>
      </c>
      <c r="B15" s="27">
        <v>2.0</v>
      </c>
      <c r="C15" s="27">
        <v>3.0</v>
      </c>
      <c r="D15" s="27">
        <v>5.0</v>
      </c>
      <c r="E15" s="27">
        <v>5.0</v>
      </c>
      <c r="F15" s="33">
        <f>SUMPRODUCT($B$14:$E$14,B15:E15)</f>
        <v>3.7</v>
      </c>
    </row>
    <row r="16" spans="8:8" ht="15.0">
      <c r="A16" s="15" t="s">
        <v>228</v>
      </c>
      <c r="B16" s="27">
        <v>4.0</v>
      </c>
      <c r="C16" s="27">
        <v>3.0</v>
      </c>
      <c r="D16" s="27">
        <v>4.0</v>
      </c>
      <c r="E16" s="27">
        <v>4.0</v>
      </c>
      <c r="F16" s="33">
        <f>SUMPRODUCT($B$14:$E$14,B16:E16)</f>
        <v>3.8</v>
      </c>
    </row>
    <row r="17" spans="8:8" ht="15.0">
      <c r="A17" s="15" t="s">
        <v>229</v>
      </c>
      <c r="B17" s="27">
        <v>5.0</v>
      </c>
      <c r="C17" s="27">
        <v>4.0</v>
      </c>
      <c r="D17" s="27">
        <v>2.0</v>
      </c>
      <c r="E17" s="27">
        <v>3.0</v>
      </c>
      <c r="F17" s="33">
        <f>SUMPRODUCT($B$14:$E$14,B17:E17)</f>
        <v>3.55</v>
      </c>
    </row>
    <row r="18" spans="8:8" ht="15.0">
      <c r="A18" s="15" t="s">
        <v>230</v>
      </c>
      <c r="B18" s="27">
        <v>4.0</v>
      </c>
      <c r="C18" s="27">
        <v>3.0</v>
      </c>
      <c r="D18" s="27">
        <v>3.0</v>
      </c>
      <c r="E18" s="27">
        <v>5.0</v>
      </c>
      <c r="F18" s="33">
        <f>SUMPRODUCT($B$14:$E$14,B18:E18)</f>
        <v>3.8</v>
      </c>
    </row>
    <row r="19" spans="8:8" ht="15.0">
      <c r="A19" s="15" t="s">
        <v>231</v>
      </c>
      <c r="B19" s="27">
        <v>5.0</v>
      </c>
      <c r="C19" s="27">
        <v>5.0</v>
      </c>
      <c r="D19" s="27">
        <v>1.0</v>
      </c>
      <c r="E19" s="27">
        <v>1.0</v>
      </c>
      <c r="F19" s="33">
        <f>SUMPRODUCT($B$14:$E$14,B19:E19)</f>
        <v>3.0</v>
      </c>
    </row>
    <row r="20" spans="8:8" ht="15.0">
      <c r="A20" s="15" t="s">
        <v>232</v>
      </c>
      <c r="B20" s="27">
        <v>3.0</v>
      </c>
      <c r="C20" s="27">
        <v>3.0</v>
      </c>
      <c r="D20" s="27">
        <v>3.0</v>
      </c>
      <c r="E20" s="27">
        <v>2.0</v>
      </c>
      <c r="F20" s="33">
        <f>SUMPRODUCT($B$14:$E$14,B20:E20)</f>
        <v>2.75</v>
      </c>
    </row>
    <row r="21" spans="8:8" ht="15.0">
      <c r="A21" s="15"/>
      <c r="B21" s="15"/>
      <c r="C21" s="15"/>
      <c r="D21" s="15"/>
      <c r="E21" s="15"/>
      <c r="F21" s="15"/>
    </row>
    <row r="22" spans="8:8" ht="15.0" customHeight="1">
      <c r="A22" s="26" t="s">
        <v>233</v>
      </c>
      <c r="B22" s="26"/>
      <c r="C22" s="26"/>
      <c r="D22" s="26"/>
      <c r="E22" s="26"/>
      <c r="F22" s="26"/>
    </row>
  </sheetData>
  <mergeCells count="1">
    <mergeCell ref="A22:F22"/>
  </mergeCells>
  <pageMargins left="0.75" right="0.75" top="1.0" bottom="1.0" header="0.511811023622047" footer="0.511811023622047"/>
  <pageSetup paperSize="9"/>
</worksheet>
</file>

<file path=xl/worksheets/sheet4.xml><?xml version="1.0" encoding="utf-8"?>
<worksheet xmlns:r="http://schemas.openxmlformats.org/officeDocument/2006/relationships" xmlns="http://schemas.openxmlformats.org/spreadsheetml/2006/main">
  <dimension ref="A1:F75"/>
  <sheetViews>
    <sheetView workbookViewId="0">
      <pane xSplit="1" ySplit="3" topLeftCell="B4" state="frozen" activePane="bottomRight"/>
      <selection pane="bottomRight" activeCell="A1" sqref="A1"/>
    </sheetView>
  </sheetViews>
  <sheetFormatPr defaultRowHeight="15.0" zeroHeight="1"/>
  <cols>
    <col min="1" max="1" customWidth="1" width="52.0" style="0"/>
    <col min="2" max="4" customWidth="1" width="18.0" style="0"/>
    <col min="5" max="5" customWidth="1" width="70.0" style="0"/>
  </cols>
  <sheetData>
    <row r="1" spans="8:8" ht="15.0">
      <c r="A1" s="1" t="s">
        <v>234</v>
      </c>
    </row>
    <row r="3" spans="8:8" ht="15.0">
      <c r="A3" s="34" t="s">
        <v>235</v>
      </c>
      <c r="B3" s="34" t="s">
        <v>236</v>
      </c>
      <c r="C3" s="34" t="s">
        <v>237</v>
      </c>
      <c r="D3" s="34" t="s">
        <v>238</v>
      </c>
      <c r="E3" s="34" t="s">
        <v>239</v>
      </c>
    </row>
    <row r="4" spans="8:8" ht="15.0">
      <c r="A4" s="17" t="s">
        <v>240</v>
      </c>
      <c r="B4" s="18"/>
      <c r="C4" s="18"/>
      <c r="D4" s="18"/>
      <c r="E4" s="18"/>
    </row>
    <row r="5" spans="8:8" ht="15.0">
      <c r="A5" s="15" t="s">
        <v>241</v>
      </c>
      <c r="B5" s="27">
        <v>1.1</v>
      </c>
      <c r="C5" s="27">
        <v>1.1</v>
      </c>
      <c r="D5" s="15" t="s">
        <v>242</v>
      </c>
      <c r="E5" s="24" t="s">
        <v>243</v>
      </c>
    </row>
    <row r="6" spans="8:8" ht="15.0">
      <c r="A6" s="15" t="s">
        <v>244</v>
      </c>
      <c r="B6" s="27">
        <v>0.22</v>
      </c>
      <c r="C6" s="27">
        <v>0.22</v>
      </c>
      <c r="D6" s="15" t="s">
        <v>242</v>
      </c>
      <c r="E6" s="24" t="s">
        <v>245</v>
      </c>
    </row>
    <row r="7" spans="8:8" ht="15.0">
      <c r="A7" s="15" t="s">
        <v>246</v>
      </c>
      <c r="B7" s="33">
        <f>B5*B6</f>
        <v>0.24200000000000002</v>
      </c>
      <c r="C7" s="33">
        <f>C5*C6</f>
        <v>0.24200000000000002</v>
      </c>
      <c r="D7" s="15" t="s">
        <v>247</v>
      </c>
      <c r="E7" s="24" t="s">
        <v>248</v>
      </c>
    </row>
    <row r="8" spans="8:8" ht="15.0">
      <c r="A8" s="15" t="s">
        <v>249</v>
      </c>
      <c r="B8" s="33">
        <f>B5^2/B7</f>
        <v>5.0</v>
      </c>
      <c r="C8" s="33">
        <f>C5^2/C7</f>
        <v>5.0</v>
      </c>
      <c r="D8" s="15" t="s">
        <v>250</v>
      </c>
      <c r="E8" s="24" t="s">
        <v>251</v>
      </c>
    </row>
    <row r="9" spans="8:8" ht="15.0">
      <c r="A9" s="15" t="s">
        <v>252</v>
      </c>
      <c r="B9" s="27">
        <v>0.86</v>
      </c>
      <c r="C9" s="27">
        <v>0.86</v>
      </c>
      <c r="D9" s="15" t="s">
        <v>247</v>
      </c>
      <c r="E9" s="24" t="s">
        <v>253</v>
      </c>
    </row>
    <row r="10" spans="8:8" ht="23.85">
      <c r="A10" s="15" t="s">
        <v>254</v>
      </c>
      <c r="B10" s="27">
        <v>0.3</v>
      </c>
      <c r="C10" s="27">
        <v>0.2</v>
      </c>
      <c r="D10" s="15" t="s">
        <v>255</v>
      </c>
      <c r="E10" s="24" t="s">
        <v>256</v>
      </c>
    </row>
    <row r="11" spans="8:8" ht="15.0">
      <c r="A11" s="15" t="s">
        <v>257</v>
      </c>
      <c r="B11" s="35">
        <f>SUM(BOM!L6:L27)</f>
        <v>827.0</v>
      </c>
      <c r="C11" s="35">
        <f>SUM(BOM!M6:M27)</f>
        <v>802.0</v>
      </c>
      <c r="D11" s="15" t="s">
        <v>258</v>
      </c>
      <c r="E11" s="24" t="s">
        <v>259</v>
      </c>
    </row>
    <row r="12" spans="8:8" ht="15.0">
      <c r="A12" s="15" t="s">
        <v>260</v>
      </c>
      <c r="B12" s="28">
        <v>0.05</v>
      </c>
      <c r="C12" s="28">
        <v>0.05</v>
      </c>
      <c r="D12" s="15" t="s">
        <v>261</v>
      </c>
      <c r="E12" s="24" t="s">
        <v>262</v>
      </c>
    </row>
    <row r="13" spans="8:8" ht="15.0">
      <c r="A13" s="15" t="s">
        <v>263</v>
      </c>
      <c r="B13" s="35">
        <f>B11*(1+B12)</f>
        <v>868.35</v>
      </c>
      <c r="C13" s="35">
        <f>C11*(1+C12)</f>
        <v>842.1</v>
      </c>
      <c r="D13" s="15" t="s">
        <v>258</v>
      </c>
      <c r="E13" s="24" t="s">
        <v>264</v>
      </c>
    </row>
    <row r="14" spans="8:8" ht="15.0">
      <c r="A14" s="15" t="s">
        <v>265</v>
      </c>
      <c r="B14" s="27">
        <v>9.81</v>
      </c>
      <c r="C14" s="27">
        <v>9.81</v>
      </c>
      <c r="D14" s="15" t="s">
        <v>266</v>
      </c>
      <c r="E14" s="24"/>
    </row>
    <row r="15" spans="8:8" ht="15.0">
      <c r="A15" s="15" t="s">
        <v>267</v>
      </c>
      <c r="B15" s="33">
        <f>B13/1000*B14</f>
        <v>8.518513500000001</v>
      </c>
      <c r="C15" s="33">
        <f>C13/1000*C14</f>
        <v>8.261001</v>
      </c>
      <c r="D15" s="15" t="s">
        <v>268</v>
      </c>
      <c r="E15" s="24"/>
    </row>
    <row r="16" spans="8:8" ht="15.0">
      <c r="A16" s="15" t="s">
        <v>269</v>
      </c>
      <c r="B16" s="33">
        <f>B13/(B7*100)</f>
        <v>35.882231404958674</v>
      </c>
      <c r="C16" s="33">
        <f>C13/(C7*100)</f>
        <v>34.79752066115702</v>
      </c>
      <c r="D16" s="15" t="s">
        <v>270</v>
      </c>
      <c r="E16" s="24" t="s">
        <v>271</v>
      </c>
    </row>
    <row r="17" spans="8:8" ht="15.0">
      <c r="A17" s="15" t="s">
        <v>272</v>
      </c>
      <c r="B17" s="27">
        <v>1.225</v>
      </c>
      <c r="C17" s="27">
        <v>1.225</v>
      </c>
      <c r="D17" s="15" t="s">
        <v>273</v>
      </c>
      <c r="E17" s="24" t="s">
        <v>274</v>
      </c>
    </row>
    <row r="18" spans="8:8" ht="15.0">
      <c r="A18" s="15" t="s">
        <v>275</v>
      </c>
      <c r="B18" s="27">
        <v>1.1</v>
      </c>
      <c r="C18" s="27">
        <v>1.1</v>
      </c>
      <c r="D18" s="15" t="s">
        <v>250</v>
      </c>
      <c r="E18" s="24" t="s">
        <v>276</v>
      </c>
    </row>
    <row r="19" spans="8:8" ht="15.0">
      <c r="A19" s="15" t="s">
        <v>277</v>
      </c>
      <c r="B19" s="33">
        <f>SQRT(2*B15/(B17*B7*B18))</f>
        <v>7.228111376794503</v>
      </c>
      <c r="C19" s="33">
        <f>SQRT(2*C15/(C17*C7*C18))</f>
        <v>7.118021005389432</v>
      </c>
      <c r="D19" s="15" t="s">
        <v>278</v>
      </c>
      <c r="E19" s="24" t="s">
        <v>279</v>
      </c>
    </row>
    <row r="20" spans="8:8" ht="15.0">
      <c r="A20" s="15" t="s">
        <v>280</v>
      </c>
      <c r="B20" s="33">
        <f>1.5*B19</f>
        <v>10.842167065191756</v>
      </c>
      <c r="C20" s="33">
        <f>1.5*C19</f>
        <v>10.677031508084148</v>
      </c>
      <c r="D20" s="15" t="s">
        <v>278</v>
      </c>
      <c r="E20" s="24" t="s">
        <v>281</v>
      </c>
    </row>
    <row r="21" spans="8:8" ht="15.0">
      <c r="A21" s="17" t="s">
        <v>282</v>
      </c>
      <c r="B21" s="18"/>
      <c r="C21" s="18"/>
      <c r="D21" s="18"/>
      <c r="E21" s="18"/>
    </row>
    <row r="22" spans="8:8" ht="15.0">
      <c r="A22" s="15" t="s">
        <v>283</v>
      </c>
      <c r="B22" s="27">
        <v>3.0</v>
      </c>
      <c r="C22" s="27">
        <v>3.0</v>
      </c>
      <c r="D22" s="15" t="s">
        <v>250</v>
      </c>
      <c r="E22" s="24" t="s">
        <v>284</v>
      </c>
    </row>
    <row r="23" spans="8:8" ht="15.0">
      <c r="A23" s="15" t="s">
        <v>285</v>
      </c>
      <c r="B23" s="33">
        <f>B22*3.7</f>
        <v>11.100000000000001</v>
      </c>
      <c r="C23" s="33">
        <f>C22*3.7</f>
        <v>11.100000000000001</v>
      </c>
      <c r="D23" s="15" t="s">
        <v>286</v>
      </c>
      <c r="E23" s="24" t="s">
        <v>287</v>
      </c>
    </row>
    <row r="24" spans="8:8" ht="15.0">
      <c r="A24" s="15" t="s">
        <v>288</v>
      </c>
      <c r="B24" s="27">
        <v>1000.0</v>
      </c>
      <c r="C24" s="27">
        <v>980.0</v>
      </c>
      <c r="D24" s="15" t="s">
        <v>289</v>
      </c>
      <c r="E24" s="24" t="s">
        <v>290</v>
      </c>
    </row>
    <row r="25" spans="8:8" ht="15.0">
      <c r="A25" s="15" t="s">
        <v>291</v>
      </c>
      <c r="B25" s="27">
        <v>0.8</v>
      </c>
      <c r="C25" s="27">
        <v>0.8</v>
      </c>
      <c r="D25" s="15" t="s">
        <v>250</v>
      </c>
      <c r="E25" s="24" t="s">
        <v>292</v>
      </c>
    </row>
    <row r="26" spans="8:8" ht="15.0">
      <c r="A26" s="15" t="s">
        <v>293</v>
      </c>
      <c r="B26" s="35">
        <f>B24*B23*B25</f>
        <v>8880.000000000002</v>
      </c>
      <c r="C26" s="35">
        <f>C24*C23*C25</f>
        <v>8702.400000000001</v>
      </c>
      <c r="D26" s="15" t="s">
        <v>294</v>
      </c>
      <c r="E26" s="24" t="s">
        <v>295</v>
      </c>
    </row>
    <row r="27" spans="8:8" ht="15.0">
      <c r="A27" s="15" t="s">
        <v>296</v>
      </c>
      <c r="B27" s="27">
        <v>10.0</v>
      </c>
      <c r="C27" s="27">
        <v>10.0</v>
      </c>
      <c r="D27" s="15" t="s">
        <v>297</v>
      </c>
      <c r="E27" s="24" t="s">
        <v>298</v>
      </c>
    </row>
    <row r="28" spans="8:8" ht="15.0">
      <c r="A28" s="15" t="s">
        <v>299</v>
      </c>
      <c r="B28" s="27">
        <v>4.7</v>
      </c>
      <c r="C28" s="27">
        <v>4.7</v>
      </c>
      <c r="D28" s="15" t="s">
        <v>297</v>
      </c>
      <c r="E28" s="24"/>
    </row>
    <row r="29" spans="8:8" ht="15.0">
      <c r="A29" s="15" t="s">
        <v>300</v>
      </c>
      <c r="B29" s="33">
        <f>B28*0.0254*B26/60</f>
        <v>17.668240000000004</v>
      </c>
      <c r="C29" s="33">
        <f>C28*0.0254*C26/60</f>
        <v>17.314875200000003</v>
      </c>
      <c r="D29" s="15" t="s">
        <v>278</v>
      </c>
      <c r="E29" s="24" t="s">
        <v>301</v>
      </c>
    </row>
    <row r="30" spans="8:8" ht="15.0">
      <c r="A30" s="15" t="s">
        <v>302</v>
      </c>
      <c r="B30" s="27">
        <v>700.0</v>
      </c>
      <c r="C30" s="27">
        <v>850.0</v>
      </c>
      <c r="D30" s="15" t="s">
        <v>258</v>
      </c>
      <c r="E30" s="24" t="s">
        <v>303</v>
      </c>
    </row>
    <row r="31" spans="8:8" ht="15.0">
      <c r="A31" s="15" t="s">
        <v>165</v>
      </c>
      <c r="B31" s="33">
        <f>B30/B13</f>
        <v>0.8061265618702136</v>
      </c>
      <c r="C31" s="33">
        <f>C30/C13</f>
        <v>1.0093813086331789</v>
      </c>
      <c r="D31" s="15" t="s">
        <v>250</v>
      </c>
      <c r="E31" s="24" t="s">
        <v>304</v>
      </c>
    </row>
    <row r="32" spans="8:8" ht="15.0">
      <c r="A32" s="15" t="s">
        <v>305</v>
      </c>
      <c r="B32" s="27">
        <v>14.0</v>
      </c>
      <c r="C32" s="27">
        <v>14.0</v>
      </c>
      <c r="D32" s="15" t="s">
        <v>306</v>
      </c>
      <c r="E32" s="24" t="s">
        <v>307</v>
      </c>
    </row>
    <row r="33" spans="8:8" ht="15.0">
      <c r="A33" s="15" t="s">
        <v>308</v>
      </c>
      <c r="B33" s="35">
        <f>B23*B32</f>
        <v>155.40000000000003</v>
      </c>
      <c r="C33" s="35">
        <f>C23*C32</f>
        <v>155.40000000000003</v>
      </c>
      <c r="D33" s="15" t="s">
        <v>309</v>
      </c>
      <c r="E33" s="24" t="s">
        <v>310</v>
      </c>
    </row>
    <row r="34" spans="8:8" ht="15.0">
      <c r="A34" s="15" t="s">
        <v>311</v>
      </c>
      <c r="B34" s="27">
        <v>30.0</v>
      </c>
      <c r="C34" s="27">
        <v>40.0</v>
      </c>
      <c r="D34" s="15" t="s">
        <v>306</v>
      </c>
      <c r="E34" s="24" t="s">
        <v>312</v>
      </c>
    </row>
    <row r="35" spans="8:8" ht="15.0">
      <c r="A35" s="15" t="s">
        <v>313</v>
      </c>
      <c r="B35" s="33">
        <f>B34/B32</f>
        <v>2.142857142857143</v>
      </c>
      <c r="C35" s="33">
        <f>C34/C32</f>
        <v>2.857142857142857</v>
      </c>
      <c r="D35" s="15" t="s">
        <v>314</v>
      </c>
      <c r="E35" s="24" t="s">
        <v>315</v>
      </c>
    </row>
    <row r="36" spans="8:8" ht="15.0">
      <c r="A36" s="15" t="s">
        <v>316</v>
      </c>
      <c r="B36" s="27">
        <v>2200.0</v>
      </c>
      <c r="C36" s="27">
        <v>2200.0</v>
      </c>
      <c r="D36" s="15" t="s">
        <v>317</v>
      </c>
      <c r="E36" s="24" t="s">
        <v>312</v>
      </c>
    </row>
    <row r="37" spans="8:8" ht="15.0">
      <c r="A37" s="15" t="s">
        <v>318</v>
      </c>
      <c r="B37" s="27">
        <v>30.0</v>
      </c>
      <c r="C37" s="27">
        <v>40.0</v>
      </c>
      <c r="D37" s="15" t="s">
        <v>319</v>
      </c>
      <c r="E37" s="24" t="s">
        <v>320</v>
      </c>
    </row>
    <row r="38" spans="8:8" ht="15.0">
      <c r="A38" s="15" t="s">
        <v>321</v>
      </c>
      <c r="B38" s="35">
        <f>B36/1000*B37</f>
        <v>66.0</v>
      </c>
      <c r="C38" s="35">
        <f>C36/1000*C37</f>
        <v>88.0</v>
      </c>
      <c r="D38" s="15" t="s">
        <v>306</v>
      </c>
      <c r="E38" s="24"/>
    </row>
    <row r="39" spans="8:8" ht="15.0">
      <c r="A39" s="15" t="s">
        <v>322</v>
      </c>
      <c r="B39" s="33">
        <f>B38/B32</f>
        <v>4.714285714285714</v>
      </c>
      <c r="C39" s="33">
        <f>C38/C32</f>
        <v>6.285714285714286</v>
      </c>
      <c r="D39" s="15" t="s">
        <v>314</v>
      </c>
      <c r="E39" s="24" t="s">
        <v>323</v>
      </c>
    </row>
    <row r="40" spans="8:8" ht="15.0">
      <c r="A40" s="17" t="s">
        <v>324</v>
      </c>
      <c r="B40" s="18"/>
      <c r="C40" s="18"/>
      <c r="D40" s="18"/>
      <c r="E40" s="18"/>
    </row>
    <row r="41" spans="8:8" ht="15.0">
      <c r="A41" s="15" t="s">
        <v>325</v>
      </c>
      <c r="B41" s="27">
        <v>6.0</v>
      </c>
      <c r="C41" s="27">
        <v>6.0</v>
      </c>
      <c r="D41" s="15" t="s">
        <v>250</v>
      </c>
      <c r="E41" s="24" t="s">
        <v>326</v>
      </c>
    </row>
    <row r="42" spans="8:8" ht="15.0">
      <c r="A42" s="15" t="s">
        <v>327</v>
      </c>
      <c r="B42" s="33">
        <f>B15/B41</f>
        <v>1.4197522500000002</v>
      </c>
      <c r="C42" s="33">
        <f>C15/C41</f>
        <v>1.3768335</v>
      </c>
      <c r="D42" s="15" t="s">
        <v>268</v>
      </c>
      <c r="E42" s="24"/>
    </row>
    <row r="43" spans="8:8" ht="15.0">
      <c r="A43" s="15" t="s">
        <v>328</v>
      </c>
      <c r="B43" s="36">
        <v>0.45</v>
      </c>
      <c r="C43" s="36">
        <v>0.45</v>
      </c>
      <c r="D43" s="15" t="s">
        <v>250</v>
      </c>
      <c r="E43" s="24" t="s">
        <v>329</v>
      </c>
    </row>
    <row r="44" spans="8:8" ht="15.0">
      <c r="A44" s="15" t="s">
        <v>330</v>
      </c>
      <c r="B44" s="33">
        <f>B42*B20/B43</f>
        <v>34.20709130151532</v>
      </c>
      <c r="C44" s="33">
        <f>C42*C20/C43</f>
        <v>32.667765913079506</v>
      </c>
      <c r="D44" s="15" t="s">
        <v>309</v>
      </c>
      <c r="E44" s="24"/>
    </row>
    <row r="45" spans="8:8" ht="15.0">
      <c r="A45" s="15" t="s">
        <v>331</v>
      </c>
      <c r="B45" s="33">
        <f>B44/B23</f>
        <v>3.081719937073452</v>
      </c>
      <c r="C45" s="33">
        <f>C44/C23</f>
        <v>2.9430419741513063</v>
      </c>
      <c r="D45" s="15" t="s">
        <v>306</v>
      </c>
      <c r="E45" s="24"/>
    </row>
    <row r="46" spans="8:8" ht="15.0">
      <c r="A46" s="15" t="s">
        <v>332</v>
      </c>
      <c r="B46" s="28">
        <v>0.8</v>
      </c>
      <c r="C46" s="28">
        <v>0.8</v>
      </c>
      <c r="D46" s="15" t="s">
        <v>250</v>
      </c>
      <c r="E46" s="24" t="s">
        <v>333</v>
      </c>
    </row>
    <row r="47" spans="8:8" ht="15.0">
      <c r="A47" s="15" t="s">
        <v>334</v>
      </c>
      <c r="B47" s="33">
        <f>B36*B46/1000/B45*60</f>
        <v>34.26657910396712</v>
      </c>
      <c r="C47" s="33">
        <f>C36*C46/1000/C45*60</f>
        <v>35.88124156144671</v>
      </c>
      <c r="D47" s="15" t="s">
        <v>335</v>
      </c>
      <c r="E47" s="24" t="s">
        <v>336</v>
      </c>
    </row>
    <row r="48" spans="8:8" ht="15.0">
      <c r="A48" s="15" t="s">
        <v>337</v>
      </c>
      <c r="B48" s="27">
        <v>7.0</v>
      </c>
      <c r="C48" s="27">
        <v>7.0</v>
      </c>
      <c r="D48" s="15" t="s">
        <v>306</v>
      </c>
      <c r="E48" s="24" t="s">
        <v>338</v>
      </c>
    </row>
    <row r="49" spans="8:8" ht="15.0">
      <c r="A49" s="15" t="s">
        <v>339</v>
      </c>
      <c r="B49" s="33">
        <f>B36*B46/1000/B48*60</f>
        <v>15.085714285714287</v>
      </c>
      <c r="C49" s="33">
        <f>C36*C46/1000/C48*60</f>
        <v>15.085714285714287</v>
      </c>
      <c r="D49" s="15" t="s">
        <v>335</v>
      </c>
      <c r="E49" s="24" t="s">
        <v>340</v>
      </c>
    </row>
    <row r="50" spans="8:8" ht="15.0">
      <c r="A50" s="15" t="s">
        <v>341</v>
      </c>
      <c r="B50" s="27">
        <v>10.0</v>
      </c>
      <c r="C50" s="27">
        <v>10.0</v>
      </c>
      <c r="D50" s="15" t="s">
        <v>278</v>
      </c>
      <c r="E50" s="24"/>
    </row>
    <row r="51" spans="8:8" ht="15.0">
      <c r="A51" s="15" t="s">
        <v>342</v>
      </c>
      <c r="B51" s="33">
        <f>B30/1000*B14*(1-B50/B29)</f>
        <v>2.980364998437876</v>
      </c>
      <c r="C51" s="33">
        <f>C30/1000*C14*(1-C50/C29)</f>
        <v>3.522698613224773</v>
      </c>
      <c r="D51" s="15" t="s">
        <v>268</v>
      </c>
      <c r="E51" s="24" t="s">
        <v>343</v>
      </c>
    </row>
    <row r="52" spans="8:8" ht="15.0">
      <c r="A52" s="15" t="s">
        <v>344</v>
      </c>
      <c r="B52" s="33">
        <f>B51-B42</f>
        <v>1.5606127484378802</v>
      </c>
      <c r="C52" s="33">
        <f>C51-C42</f>
        <v>2.14586511322477</v>
      </c>
      <c r="D52" s="15" t="s">
        <v>268</v>
      </c>
      <c r="E52" s="24" t="s">
        <v>345</v>
      </c>
    </row>
    <row r="53" spans="8:8" ht="15.0">
      <c r="A53" s="15" t="s">
        <v>346</v>
      </c>
      <c r="B53" s="33">
        <f>B52*B50/B15</f>
        <v>1.8320247405112173</v>
      </c>
      <c r="C53" s="33">
        <f>C52*C50/C15</f>
        <v>2.5975848607508585</v>
      </c>
      <c r="D53" s="15" t="s">
        <v>278</v>
      </c>
      <c r="E53" s="24" t="s">
        <v>347</v>
      </c>
    </row>
    <row r="54" spans="8:8" ht="15.0">
      <c r="A54" s="15" t="s">
        <v>348</v>
      </c>
      <c r="B54" s="33">
        <f>B42/(B30/1000*B14)</f>
        <v>0.20675000000000002</v>
      </c>
      <c r="C54" s="33">
        <f>C42/(C30/1000*C14)</f>
        <v>0.16511764705882354</v>
      </c>
      <c r="D54" s="15" t="s">
        <v>250</v>
      </c>
      <c r="E54" s="24" t="s">
        <v>349</v>
      </c>
    </row>
    <row r="55" spans="8:8" ht="15.0">
      <c r="A55" s="15" t="s">
        <v>350</v>
      </c>
      <c r="B55" s="15" t="str">
        <f>IF(AND(B31&gt;=0.6,B53&gt;=1,B19&lt;9,B35&gt;=1.5,B39&gt;=2),"PASS","REVIEW")</f>
        <v>PASS</v>
      </c>
      <c r="C55" s="15" t="str">
        <f>IF(AND(C31&gt;=0.6,C53&gt;=1,C19&lt;9,C35&gt;=1.5,C39&gt;=2),"PASS","REVIEW")</f>
        <v>PASS</v>
      </c>
      <c r="D55" s="15"/>
      <c r="E55" s="24" t="s">
        <v>351</v>
      </c>
    </row>
    <row r="56" spans="8:8" ht="15.0">
      <c r="A56" s="17" t="s">
        <v>352</v>
      </c>
      <c r="B56" s="18"/>
      <c r="C56" s="18"/>
      <c r="D56" s="18"/>
      <c r="E56" s="18"/>
    </row>
    <row r="57" spans="8:8" ht="15.0">
      <c r="A57" s="15" t="s">
        <v>353</v>
      </c>
      <c r="B57" s="27">
        <v>3.0</v>
      </c>
      <c r="C57" s="27">
        <v>3.0</v>
      </c>
      <c r="D57" s="15" t="s">
        <v>258</v>
      </c>
      <c r="E57" s="24"/>
    </row>
    <row r="58" spans="8:8" ht="15.0">
      <c r="A58" s="15" t="s">
        <v>354</v>
      </c>
      <c r="B58" s="33">
        <f>B15*B57</f>
        <v>25.555540500000003</v>
      </c>
      <c r="C58" s="33">
        <f>C15*C57</f>
        <v>24.783003</v>
      </c>
      <c r="D58" s="15" t="s">
        <v>268</v>
      </c>
      <c r="E58" s="24"/>
    </row>
    <row r="59" spans="8:8" ht="15.0">
      <c r="A59" s="15" t="s">
        <v>355</v>
      </c>
      <c r="B59" s="33">
        <f>B58/2*(4/(3*PI()))*(B5/2)</f>
        <v>2.982679768904094</v>
      </c>
      <c r="C59" s="33">
        <f>C58/2*(4/(3*PI()))*(C5/2)</f>
        <v>2.8925141168815998</v>
      </c>
      <c r="D59" s="15" t="s">
        <v>356</v>
      </c>
      <c r="E59" s="24" t="s">
        <v>357</v>
      </c>
    </row>
    <row r="60" spans="8:8" ht="15.0">
      <c r="A60" s="15" t="s">
        <v>358</v>
      </c>
      <c r="B60" s="27">
        <v>6.0</v>
      </c>
      <c r="C60" s="27">
        <v>8.0</v>
      </c>
      <c r="D60" s="15" t="s">
        <v>359</v>
      </c>
      <c r="E60" s="24" t="s">
        <v>312</v>
      </c>
    </row>
    <row r="61" spans="8:8" ht="15.0">
      <c r="A61" s="15" t="s">
        <v>360</v>
      </c>
      <c r="B61" s="27">
        <v>0.0</v>
      </c>
      <c r="C61" s="27">
        <v>6.0</v>
      </c>
      <c r="D61" s="15" t="s">
        <v>359</v>
      </c>
      <c r="E61" s="24" t="s">
        <v>361</v>
      </c>
    </row>
    <row r="62" spans="8:8" ht="15.0">
      <c r="A62" s="15" t="s">
        <v>362</v>
      </c>
      <c r="B62" s="37">
        <f>PI()*(B60^4-B61^4)/64*10^-12</f>
        <v>6.36172512351933E-11</v>
      </c>
      <c r="C62" s="37">
        <f>PI()*(C60^4-C61^4)/64*10^-12</f>
        <v>1.3744467859455343E-10</v>
      </c>
      <c r="D62" s="15" t="s">
        <v>363</v>
      </c>
      <c r="E62" s="24"/>
    </row>
    <row r="63" spans="8:8" ht="15.0">
      <c r="A63" s="15" t="s">
        <v>364</v>
      </c>
      <c r="B63" s="33">
        <f>B59*(B60/2/1000)/B62/10^6</f>
        <v>140.6542900388974</v>
      </c>
      <c r="C63" s="33">
        <f>C59*(C60/2/1000)/C62/10^6</f>
        <v>84.17973388156251</v>
      </c>
      <c r="D63" s="15" t="s">
        <v>365</v>
      </c>
      <c r="E63" s="24" t="s">
        <v>366</v>
      </c>
    </row>
    <row r="64" spans="8:8" ht="15.0">
      <c r="A64" s="15" t="s">
        <v>367</v>
      </c>
      <c r="B64" s="27">
        <v>600.0</v>
      </c>
      <c r="C64" s="27">
        <v>600.0</v>
      </c>
      <c r="D64" s="15" t="s">
        <v>365</v>
      </c>
      <c r="E64" s="24" t="s">
        <v>368</v>
      </c>
    </row>
    <row r="65" spans="8:8" ht="15.0">
      <c r="A65" s="15" t="s">
        <v>369</v>
      </c>
      <c r="B65" s="33">
        <f>B64/B63</f>
        <v>4.265778170250423</v>
      </c>
      <c r="C65" s="33">
        <f>C64/C63</f>
        <v>7.12760628162802</v>
      </c>
      <c r="D65" s="15" t="s">
        <v>314</v>
      </c>
      <c r="E65" s="24" t="s">
        <v>370</v>
      </c>
    </row>
    <row r="66" spans="8:8" ht="15.0">
      <c r="A66" s="15"/>
      <c r="B66" s="15"/>
      <c r="C66" s="15"/>
      <c r="D66" s="15"/>
      <c r="E66" s="15"/>
    </row>
    <row r="67" spans="8:8" ht="15.0">
      <c r="A67" s="17" t="s">
        <v>371</v>
      </c>
      <c r="B67" s="18"/>
      <c r="C67" s="18"/>
      <c r="D67" s="18"/>
      <c r="E67" s="18"/>
    </row>
    <row r="68" spans="8:8" ht="15.0">
      <c r="A68" s="14" t="s">
        <v>372</v>
      </c>
      <c r="B68" s="14" t="s">
        <v>373</v>
      </c>
      <c r="C68" s="14" t="s">
        <v>374</v>
      </c>
      <c r="D68" s="14" t="s">
        <v>375</v>
      </c>
      <c r="E68" s="14" t="s">
        <v>376</v>
      </c>
    </row>
    <row r="69" spans="8:8" ht="15.0">
      <c r="A69" s="15" t="s">
        <v>377</v>
      </c>
      <c r="B69" s="38">
        <v>1500.0</v>
      </c>
      <c r="C69" s="38">
        <v>2200.0</v>
      </c>
      <c r="D69" s="38">
        <v>3000.0</v>
      </c>
      <c r="E69" s="24" t="s">
        <v>378</v>
      </c>
    </row>
    <row r="70" spans="8:8" ht="15.0">
      <c r="A70" s="15" t="s">
        <v>379</v>
      </c>
      <c r="B70" s="38">
        <v>125.0</v>
      </c>
      <c r="C70" s="38">
        <v>185.0</v>
      </c>
      <c r="D70" s="38">
        <v>245.0</v>
      </c>
      <c r="E70" s="24" t="s">
        <v>380</v>
      </c>
    </row>
    <row r="71" spans="8:8" ht="15.0">
      <c r="A71" s="15" t="s">
        <v>163</v>
      </c>
      <c r="B71" s="35">
        <f>(B11-BOM!L13+B70)*(1+B12)</f>
        <v>805.35</v>
      </c>
      <c r="C71" s="35">
        <f>(B11-BOM!L13+C70)*(1+B12)</f>
        <v>868.35</v>
      </c>
      <c r="D71" s="35">
        <f>(B11-BOM!L13+D70)*(1+B12)</f>
        <v>931.35</v>
      </c>
      <c r="E71" s="24" t="s">
        <v>381</v>
      </c>
    </row>
    <row r="72" spans="8:8" ht="15.0">
      <c r="A72" s="15" t="s">
        <v>165</v>
      </c>
      <c r="B72" s="33">
        <f>B30/B71</f>
        <v>0.8691873098652759</v>
      </c>
      <c r="C72" s="33">
        <f>B30/C71</f>
        <v>0.8061265618702136</v>
      </c>
      <c r="D72" s="33">
        <f>B30/D71</f>
        <v>0.7515971439308531</v>
      </c>
      <c r="E72" s="24" t="s">
        <v>382</v>
      </c>
    </row>
    <row r="73" spans="8:8" ht="15.0">
      <c r="A73" s="15" t="s">
        <v>164</v>
      </c>
      <c r="B73" s="39">
        <f>B71/(B7*100)</f>
        <v>33.27892561983471</v>
      </c>
      <c r="C73" s="39">
        <f>C71/(B7*100)</f>
        <v>35.882231404958674</v>
      </c>
      <c r="D73" s="39">
        <f>D71/(B7*100)</f>
        <v>38.48553719008264</v>
      </c>
      <c r="E73" s="24"/>
    </row>
    <row r="74" spans="8:8" ht="15.0">
      <c r="A74" s="15" t="s">
        <v>168</v>
      </c>
      <c r="B74" s="39">
        <f>B69*B46/1000/B48*60</f>
        <v>10.285714285714286</v>
      </c>
      <c r="C74" s="39">
        <f>C69*B46/1000/B48*60</f>
        <v>15.085714285714287</v>
      </c>
      <c r="D74" s="39">
        <f>D69*B46/1000/B48*60</f>
        <v>20.571428571428573</v>
      </c>
      <c r="E74" s="24" t="s">
        <v>383</v>
      </c>
    </row>
    <row r="75" spans="8:8" ht="15.0">
      <c r="A75" s="15" t="s">
        <v>384</v>
      </c>
      <c r="B75" s="39">
        <f>B69/1000*B37</f>
        <v>45.0</v>
      </c>
      <c r="C75" s="39">
        <f>C69/1000*B37</f>
        <v>66.0</v>
      </c>
      <c r="D75" s="39">
        <f>D69/1000*B37</f>
        <v>90.0</v>
      </c>
      <c r="E75" s="24" t="s">
        <v>385</v>
      </c>
    </row>
  </sheetData>
  <pageMargins left="0.75" right="0.75" top="1.0" bottom="1.0" header="0.511811023622047" footer="0.511811023622047"/>
  <pageSetup paperSize="9"/>
</worksheet>
</file>

<file path=xl/worksheets/sheet5.xml><?xml version="1.0" encoding="utf-8"?>
<worksheet xmlns:r="http://schemas.openxmlformats.org/officeDocument/2006/relationships" xmlns="http://schemas.openxmlformats.org/spreadsheetml/2006/main">
  <dimension ref="A1:D12"/>
  <sheetViews>
    <sheetView workbookViewId="0">
      <selection activeCell="A1" sqref="A1"/>
    </sheetView>
  </sheetViews>
  <sheetFormatPr defaultRowHeight="15.0" zeroHeight="1"/>
  <cols>
    <col min="1" max="2" customWidth="1" width="70.0" style="0"/>
    <col min="3" max="3" customWidth="1" width="50.0" style="0"/>
  </cols>
  <sheetData>
    <row r="1" spans="8:8" ht="15.0">
      <c r="A1" s="1" t="s">
        <v>386</v>
      </c>
    </row>
    <row r="3" spans="8:8" ht="15.0">
      <c r="A3" s="14" t="s">
        <v>387</v>
      </c>
      <c r="B3" s="14" t="s">
        <v>388</v>
      </c>
      <c r="C3" s="14" t="s">
        <v>389</v>
      </c>
    </row>
    <row r="4" spans="8:8" ht="31.5" customHeight="1">
      <c r="A4" s="24" t="s">
        <v>390</v>
      </c>
      <c r="B4" s="40" t="s">
        <v>391</v>
      </c>
      <c r="C4" s="24" t="s">
        <v>392</v>
      </c>
    </row>
    <row r="5" spans="8:8" ht="31.5" customHeight="1">
      <c r="A5" s="24" t="s">
        <v>393</v>
      </c>
      <c r="B5" s="40" t="s">
        <v>394</v>
      </c>
      <c r="C5" s="24" t="s">
        <v>395</v>
      </c>
    </row>
    <row r="6" spans="8:8" ht="31.5" customHeight="1">
      <c r="A6" s="24" t="s">
        <v>396</v>
      </c>
      <c r="B6" s="40" t="s">
        <v>397</v>
      </c>
      <c r="C6" s="24" t="s">
        <v>398</v>
      </c>
    </row>
    <row r="7" spans="8:8" ht="31.5" customHeight="1">
      <c r="A7" s="24" t="s">
        <v>399</v>
      </c>
      <c r="B7" s="40" t="s">
        <v>400</v>
      </c>
      <c r="C7" s="24" t="s">
        <v>401</v>
      </c>
    </row>
    <row r="8" spans="8:8" ht="31.5" customHeight="1">
      <c r="A8" s="24" t="s">
        <v>402</v>
      </c>
      <c r="B8" s="40" t="s">
        <v>403</v>
      </c>
      <c r="C8" s="24" t="s">
        <v>404</v>
      </c>
    </row>
    <row r="9" spans="8:8" ht="31.5" customHeight="1">
      <c r="A9" s="24" t="s">
        <v>405</v>
      </c>
      <c r="B9" s="40" t="s">
        <v>406</v>
      </c>
      <c r="C9" s="24" t="s">
        <v>407</v>
      </c>
    </row>
    <row r="10" spans="8:8" ht="31.5" customHeight="1">
      <c r="A10" s="24" t="s">
        <v>408</v>
      </c>
      <c r="B10" s="40" t="s">
        <v>409</v>
      </c>
      <c r="C10" s="24" t="s">
        <v>410</v>
      </c>
    </row>
    <row r="11" spans="8:8" ht="31.5" customHeight="1">
      <c r="A11" s="24" t="s">
        <v>411</v>
      </c>
      <c r="B11" s="40" t="s">
        <v>412</v>
      </c>
      <c r="C11" s="24" t="s">
        <v>413</v>
      </c>
    </row>
    <row r="12" spans="8:8" ht="31.5" customHeight="1">
      <c r="A12" s="24" t="s">
        <v>414</v>
      </c>
      <c r="B12" s="40" t="s">
        <v>415</v>
      </c>
      <c r="C12" s="24" t="s">
        <v>416</v>
      </c>
    </row>
  </sheetData>
  <hyperlinks>
    <hyperlink ref="B4" r:id="rId1"/>
    <hyperlink ref="B5" r:id="rId2"/>
    <hyperlink ref="B6" r:id="rId3"/>
    <hyperlink ref="B7" r:id="rId4"/>
    <hyperlink ref="B8" r:id="rId5"/>
    <hyperlink ref="B9" r:id="rId6"/>
    <hyperlink ref="B10" r:id="rId7"/>
    <hyperlink ref="B11" r:id="rId8"/>
    <hyperlink ref="B12" r:id="rId9"/>
  </hyperlinks>
  <pageMargins left="0.75" right="0.75" top="1.0" bottom="1.0" header="0.511811023622047" footer="0.511811023622047"/>
  <pageSetup paperSize="9"/>
</worksheet>
</file>

<file path=docProps/app.xml><?xml version="1.0" encoding="utf-8"?>
<Properties xmlns="http://schemas.openxmlformats.org/officeDocument/2006/extended-properties">
  <Application>Kingsoft Office</Application>
  <ScaleCrop>0</ScaleCrop>
  <LinksUpToDate>0</LinksUpToDate>
  <AppVersion>15.0000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2026-10-23T15:28:02Z</dcterms:created>
  <dcterms:modified xsi:type="dcterms:W3CDTF">2026-10-24T13:58:31Z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86b78f0d42d9497faeb14ec9bab51cb1</vt:lpwstr>
  </property>
</Properties>
</file>